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licom-my.sharepoint.com/personal/john_mora_tigo_com_co/Documents/back up 19 10 2022/Documnetación Facilities/"/>
    </mc:Choice>
  </mc:AlternateContent>
  <xr:revisionPtr revIDLastSave="0" documentId="8_{298418DF-6D1E-4057-8070-B1AC768081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9" i="1" s="1"/>
  <c r="I18" i="1"/>
  <c r="B20" i="1"/>
  <c r="C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Edwin Mora</author>
  </authors>
  <commentList>
    <comment ref="C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John Edwin Mora:</t>
        </r>
        <r>
          <rPr>
            <sz val="9"/>
            <color indexed="81"/>
            <rFont val="Tahoma"/>
            <family val="2"/>
          </rPr>
          <t xml:space="preserve">
corriente por voltaje DC de todos los rectificadores en W</t>
        </r>
      </text>
    </comment>
    <comment ref="C2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John Edwin Mora:</t>
        </r>
        <r>
          <rPr>
            <sz val="9"/>
            <color indexed="81"/>
            <rFont val="Tahoma"/>
            <family val="2"/>
          </rPr>
          <t xml:space="preserve">
Potencia equipos nuevos en w</t>
        </r>
      </text>
    </comment>
  </commentList>
</comments>
</file>

<file path=xl/sharedStrings.xml><?xml version="1.0" encoding="utf-8"?>
<sst xmlns="http://schemas.openxmlformats.org/spreadsheetml/2006/main" count="10" uniqueCount="10">
  <si>
    <t>CALCULO DE AIRE ACONDICIONADO</t>
  </si>
  <si>
    <t>CMTS</t>
  </si>
  <si>
    <t>Se suma 8 KW por cada CMTS nuevo.</t>
  </si>
  <si>
    <t>Rectificadores</t>
  </si>
  <si>
    <t>Se considera el 15% de la carga de salida de si mismo por factor de potencia</t>
  </si>
  <si>
    <r>
      <t>Potencia sitio= ( KW del sitio+ crecimiento)</t>
    </r>
    <r>
      <rPr>
        <sz val="11"/>
        <color rgb="FFFF0000"/>
        <rFont val="Calibri"/>
        <family val="2"/>
        <scheme val="minor"/>
      </rPr>
      <t xml:space="preserve"> *1,15</t>
    </r>
  </si>
  <si>
    <t>TR= (Potencia sitio/3,5)*1,15*1,4</t>
  </si>
  <si>
    <t>W actual:</t>
  </si>
  <si>
    <t>W crecimiento</t>
  </si>
  <si>
    <t>TR    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</si>
</sst>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7</xdr:row>
      <xdr:rowOff>152401</xdr:rowOff>
    </xdr:from>
    <xdr:to>
      <xdr:col>4</xdr:col>
      <xdr:colOff>333375</xdr:colOff>
      <xdr:row>9</xdr:row>
      <xdr:rowOff>38101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F57628B-8684-44DB-9F81-CBB86E1C9854}"/>
            </a:ext>
          </a:extLst>
        </xdr:cNvPr>
        <xdr:cNvSpPr txBox="1"/>
      </xdr:nvSpPr>
      <xdr:spPr>
        <a:xfrm>
          <a:off x="2295525" y="1485901"/>
          <a:ext cx="838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rectificador</a:t>
          </a:r>
        </a:p>
      </xdr:txBody>
    </xdr:sp>
    <xdr:clientData/>
  </xdr:twoCellAnchor>
  <xdr:twoCellAnchor>
    <xdr:from>
      <xdr:col>3</xdr:col>
      <xdr:colOff>676275</xdr:colOff>
      <xdr:row>6</xdr:row>
      <xdr:rowOff>0</xdr:rowOff>
    </xdr:from>
    <xdr:to>
      <xdr:col>3</xdr:col>
      <xdr:colOff>676275</xdr:colOff>
      <xdr:row>7</xdr:row>
      <xdr:rowOff>152401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36A5693-8902-4249-8D18-DBB5EC2F56E1}"/>
            </a:ext>
          </a:extLst>
        </xdr:cNvPr>
        <xdr:cNvCxnSpPr>
          <a:stCxn id="2" idx="0"/>
        </xdr:cNvCxnSpPr>
      </xdr:nvCxnSpPr>
      <xdr:spPr>
        <a:xfrm flipV="1">
          <a:off x="2714625" y="1143000"/>
          <a:ext cx="0" cy="342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352424</xdr:colOff>
      <xdr:row>12</xdr:row>
      <xdr:rowOff>180976</xdr:rowOff>
    </xdr:from>
    <xdr:to>
      <xdr:col>3</xdr:col>
      <xdr:colOff>457199</xdr:colOff>
      <xdr:row>14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1C27EE0-A910-45CE-BF88-1E7F57D85ED1}"/>
            </a:ext>
          </a:extLst>
        </xdr:cNvPr>
        <xdr:cNvSpPr txBox="1"/>
      </xdr:nvSpPr>
      <xdr:spPr>
        <a:xfrm>
          <a:off x="1628774" y="2466976"/>
          <a:ext cx="866775" cy="371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/>
            <a:t>factor sol y filtración aire</a:t>
          </a:r>
        </a:p>
      </xdr:txBody>
    </xdr:sp>
    <xdr:clientData/>
  </xdr:twoCellAnchor>
  <xdr:twoCellAnchor>
    <xdr:from>
      <xdr:col>2</xdr:col>
      <xdr:colOff>352426</xdr:colOff>
      <xdr:row>11</xdr:row>
      <xdr:rowOff>28576</xdr:rowOff>
    </xdr:from>
    <xdr:to>
      <xdr:col>3</xdr:col>
      <xdr:colOff>23812</xdr:colOff>
      <xdr:row>12</xdr:row>
      <xdr:rowOff>180976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CD17FE-CA7C-404B-817B-008A0BF55DFB}"/>
            </a:ext>
          </a:extLst>
        </xdr:cNvPr>
        <xdr:cNvCxnSpPr>
          <a:stCxn id="5" idx="0"/>
        </xdr:cNvCxnSpPr>
      </xdr:nvCxnSpPr>
      <xdr:spPr>
        <a:xfrm flipH="1" flipV="1">
          <a:off x="1628776" y="2124076"/>
          <a:ext cx="433386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13</xdr:row>
      <xdr:rowOff>19051</xdr:rowOff>
    </xdr:from>
    <xdr:to>
      <xdr:col>5</xdr:col>
      <xdr:colOff>752475</xdr:colOff>
      <xdr:row>16</xdr:row>
      <xdr:rowOff>104775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8DF2727-611E-4953-841E-7778328E289C}"/>
            </a:ext>
          </a:extLst>
        </xdr:cNvPr>
        <xdr:cNvSpPr txBox="1"/>
      </xdr:nvSpPr>
      <xdr:spPr>
        <a:xfrm>
          <a:off x="3019425" y="2495551"/>
          <a:ext cx="1295400" cy="657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800"/>
            <a:t>Carga latente sobre sensible, es mayor por ser equipos de confort no de precisión.</a:t>
          </a:r>
        </a:p>
      </xdr:txBody>
    </xdr:sp>
    <xdr:clientData/>
  </xdr:twoCellAnchor>
  <xdr:twoCellAnchor>
    <xdr:from>
      <xdr:col>2</xdr:col>
      <xdr:colOff>666751</xdr:colOff>
      <xdr:row>10</xdr:row>
      <xdr:rowOff>123825</xdr:rowOff>
    </xdr:from>
    <xdr:to>
      <xdr:col>5</xdr:col>
      <xdr:colOff>104775</xdr:colOff>
      <xdr:row>13</xdr:row>
      <xdr:rowOff>19051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93B77E5E-2873-4E92-BD2A-C43540423957}"/>
            </a:ext>
          </a:extLst>
        </xdr:cNvPr>
        <xdr:cNvCxnSpPr>
          <a:stCxn id="8" idx="0"/>
        </xdr:cNvCxnSpPr>
      </xdr:nvCxnSpPr>
      <xdr:spPr>
        <a:xfrm flipH="1" flipV="1">
          <a:off x="1943101" y="2028825"/>
          <a:ext cx="1724024" cy="4667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4" workbookViewId="0">
      <selection activeCell="C20" sqref="C20"/>
    </sheetView>
  </sheetViews>
  <sheetFormatPr defaultColWidth="11.42578125" defaultRowHeight="15"/>
  <cols>
    <col min="1" max="1" width="17.5703125" customWidth="1"/>
    <col min="2" max="2" width="1.5703125" customWidth="1"/>
  </cols>
  <sheetData>
    <row r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>
      <c r="A3" t="s">
        <v>1</v>
      </c>
      <c r="B3" t="s">
        <v>2</v>
      </c>
    </row>
    <row r="4" spans="1:10">
      <c r="A4" t="s">
        <v>3</v>
      </c>
      <c r="B4" t="s">
        <v>4</v>
      </c>
    </row>
    <row r="6" spans="1:10">
      <c r="A6" t="s">
        <v>5</v>
      </c>
    </row>
    <row r="11" spans="1:10">
      <c r="A11" t="s">
        <v>6</v>
      </c>
    </row>
    <row r="18" spans="1:9">
      <c r="I18">
        <f>20000/50</f>
        <v>400</v>
      </c>
    </row>
    <row r="19" spans="1:9">
      <c r="A19" t="s">
        <v>7</v>
      </c>
      <c r="B19" s="1">
        <f>+C19/1000</f>
        <v>22.202500000000001</v>
      </c>
      <c r="C19" s="4">
        <f>415*53.5</f>
        <v>22202.5</v>
      </c>
    </row>
    <row r="20" spans="1:9">
      <c r="A20" t="s">
        <v>8</v>
      </c>
      <c r="B20" s="1">
        <f>+C20/1000</f>
        <v>0</v>
      </c>
      <c r="C20" s="4"/>
    </row>
    <row r="22" spans="1:9" ht="18.75">
      <c r="A22" s="2" t="s">
        <v>9</v>
      </c>
      <c r="B22" s="3"/>
      <c r="C22" s="3">
        <f>+(((B19+B20)*1.15)/3.5)*1.15*1.4</f>
        <v>11.745122499999995</v>
      </c>
    </row>
  </sheetData>
  <mergeCells count="1">
    <mergeCell ref="A1:J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Edwin Mora</dc:creator>
  <cp:keywords/>
  <dc:description/>
  <cp:lastModifiedBy/>
  <cp:revision/>
  <dcterms:created xsi:type="dcterms:W3CDTF">2018-07-19T14:11:41Z</dcterms:created>
  <dcterms:modified xsi:type="dcterms:W3CDTF">2025-10-15T19:07:19Z</dcterms:modified>
  <cp:category/>
  <cp:contentStatus/>
</cp:coreProperties>
</file>