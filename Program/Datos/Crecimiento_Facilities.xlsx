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mhoyosme\Desktop\Proyecto\Program\Datos\"/>
    </mc:Choice>
  </mc:AlternateContent>
  <xr:revisionPtr revIDLastSave="0" documentId="13_ncr:1_{A239F061-C97D-44D7-ACA9-A2971558A818}" xr6:coauthVersionLast="47" xr6:coauthVersionMax="47" xr10:uidLastSave="{00000000-0000-0000-0000-000000000000}"/>
  <bookViews>
    <workbookView xWindow="-120" yWindow="-120" windowWidth="20730" windowHeight="11040" tabRatio="510" firstSheet="4" activeTab="4" xr2:uid="{00000000-000D-0000-FFFF-FFFF00000000}"/>
  </bookViews>
  <sheets>
    <sheet name="Acceso" sheetId="4" state="hidden" r:id="rId1"/>
    <sheet name="Transporte" sheetId="3" state="hidden" r:id="rId2"/>
    <sheet name="MPLS" sheetId="5" state="hidden" r:id="rId3"/>
    <sheet name="IAP" sheetId="6" state="hidden" r:id="rId4"/>
    <sheet name="Hoja2" sheetId="34" r:id="rId5"/>
    <sheet name="BU FACILITIES" sheetId="21" state="hidden" r:id="rId6"/>
    <sheet name="Prefactibilidad negativa" sheetId="28" state="hidden" r:id="rId7"/>
    <sheet name="Sitios sin inversión" sheetId="29" state="hidden" r:id="rId8"/>
    <sheet name="Datos transformados" sheetId="30" state="hidden" r:id="rId9"/>
  </sheets>
  <definedNames>
    <definedName name="_xlnm._FilterDatabase" localSheetId="0" hidden="1">Acceso!$A$1:$Y$135</definedName>
    <definedName name="_xlnm._FilterDatabase" localSheetId="3" hidden="1">IAP!$A$1:$Y$1</definedName>
    <definedName name="_xlnm._FilterDatabase" localSheetId="2" hidden="1">MPLS!$A$1:$Y$1</definedName>
    <definedName name="_xlnm._FilterDatabase" localSheetId="6" hidden="1">'Prefactibilidad negativa'!$A$1:$AE$1</definedName>
    <definedName name="_xlnm._FilterDatabase" localSheetId="1" hidden="1">Transporte!$A$2:$Y$2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172" i="29" l="1"/>
  <c r="BB172" i="29"/>
  <c r="AY172" i="29"/>
  <c r="AV172" i="29"/>
  <c r="AS172" i="29"/>
  <c r="AP172" i="29"/>
  <c r="AM172" i="29"/>
  <c r="AK172" i="29"/>
  <c r="AH172" i="29"/>
  <c r="Q172" i="29"/>
  <c r="R172" i="29" s="1"/>
  <c r="P172" i="29"/>
  <c r="BD171" i="29"/>
  <c r="BB171" i="29"/>
  <c r="AY171" i="29"/>
  <c r="AV171" i="29"/>
  <c r="AS171" i="29"/>
  <c r="AP171" i="29"/>
  <c r="AM171" i="29"/>
  <c r="AK171" i="29"/>
  <c r="AH171" i="29"/>
  <c r="BD170" i="29"/>
  <c r="BB170" i="29"/>
  <c r="AY170" i="29"/>
  <c r="AV170" i="29"/>
  <c r="AS170" i="29"/>
  <c r="AP170" i="29"/>
  <c r="AM170" i="29"/>
  <c r="AK170" i="29"/>
  <c r="AH170" i="29"/>
  <c r="P170" i="29"/>
  <c r="Q170" i="29" s="1"/>
  <c r="BD169" i="29"/>
  <c r="BB169" i="29"/>
  <c r="AY169" i="29"/>
  <c r="AV169" i="29"/>
  <c r="AS169" i="29"/>
  <c r="AP169" i="29"/>
  <c r="AM169" i="29"/>
  <c r="AK169" i="29"/>
  <c r="AH169" i="29"/>
  <c r="P169" i="29"/>
  <c r="Q169" i="29" s="1"/>
  <c r="BD168" i="29"/>
  <c r="BB168" i="29"/>
  <c r="AY168" i="29"/>
  <c r="AV168" i="29"/>
  <c r="AS168" i="29"/>
  <c r="AP168" i="29"/>
  <c r="AM168" i="29"/>
  <c r="AK168" i="29"/>
  <c r="AH168" i="29"/>
  <c r="P168" i="29"/>
  <c r="Q168" i="29" s="1"/>
  <c r="BD167" i="29"/>
  <c r="BB167" i="29"/>
  <c r="AY167" i="29"/>
  <c r="AV167" i="29"/>
  <c r="AS167" i="29"/>
  <c r="AP167" i="29"/>
  <c r="AM167" i="29"/>
  <c r="AK167" i="29"/>
  <c r="AH167" i="29"/>
  <c r="P167" i="29"/>
  <c r="Q167" i="29" s="1"/>
  <c r="BD166" i="29"/>
  <c r="BB166" i="29"/>
  <c r="AY166" i="29"/>
  <c r="AV166" i="29"/>
  <c r="AS166" i="29"/>
  <c r="AP166" i="29"/>
  <c r="AM166" i="29"/>
  <c r="AK166" i="29"/>
  <c r="AH166" i="29"/>
  <c r="P166" i="29"/>
  <c r="Q166" i="29" s="1"/>
  <c r="BD165" i="29"/>
  <c r="BB165" i="29"/>
  <c r="AY165" i="29"/>
  <c r="AV165" i="29"/>
  <c r="AS165" i="29"/>
  <c r="AP165" i="29"/>
  <c r="AM165" i="29"/>
  <c r="AK165" i="29"/>
  <c r="AH165" i="29"/>
  <c r="P165" i="29"/>
  <c r="Q165" i="29" s="1"/>
  <c r="BD164" i="29"/>
  <c r="BB164" i="29"/>
  <c r="AY164" i="29"/>
  <c r="AV164" i="29"/>
  <c r="AS164" i="29"/>
  <c r="AP164" i="29"/>
  <c r="AM164" i="29"/>
  <c r="AK164" i="29"/>
  <c r="AH164" i="29"/>
  <c r="P164" i="29"/>
  <c r="Q164" i="29" s="1"/>
  <c r="BD163" i="29"/>
  <c r="BB163" i="29"/>
  <c r="AY163" i="29"/>
  <c r="AV163" i="29"/>
  <c r="AS163" i="29"/>
  <c r="AP163" i="29"/>
  <c r="AM163" i="29"/>
  <c r="AK163" i="29"/>
  <c r="AH163" i="29"/>
  <c r="P163" i="29"/>
  <c r="Q163" i="29" s="1"/>
  <c r="BD162" i="29"/>
  <c r="BB162" i="29"/>
  <c r="AY162" i="29"/>
  <c r="AV162" i="29"/>
  <c r="AS162" i="29"/>
  <c r="AP162" i="29"/>
  <c r="AM162" i="29"/>
  <c r="AK162" i="29"/>
  <c r="AH162" i="29"/>
  <c r="P162" i="29"/>
  <c r="Q162" i="29" s="1"/>
  <c r="BD161" i="29"/>
  <c r="BB161" i="29"/>
  <c r="AY161" i="29"/>
  <c r="AV161" i="29"/>
  <c r="AS161" i="29"/>
  <c r="AP161" i="29"/>
  <c r="AM161" i="29"/>
  <c r="AK161" i="29"/>
  <c r="AH161" i="29"/>
  <c r="P161" i="29"/>
  <c r="Q161" i="29" s="1"/>
  <c r="BD160" i="29"/>
  <c r="BB160" i="29"/>
  <c r="AY160" i="29"/>
  <c r="AV160" i="29"/>
  <c r="AS160" i="29"/>
  <c r="AP160" i="29"/>
  <c r="AM160" i="29"/>
  <c r="AK160" i="29"/>
  <c r="AH160" i="29"/>
  <c r="P160" i="29"/>
  <c r="Q160" i="29" s="1"/>
  <c r="BD159" i="29"/>
  <c r="BB159" i="29"/>
  <c r="AY159" i="29"/>
  <c r="AV159" i="29"/>
  <c r="AS159" i="29"/>
  <c r="AP159" i="29"/>
  <c r="AM159" i="29"/>
  <c r="AK159" i="29"/>
  <c r="AH159" i="29"/>
  <c r="Q159" i="29"/>
  <c r="R159" i="29" s="1"/>
  <c r="P159" i="29"/>
  <c r="BD158" i="29"/>
  <c r="BB158" i="29"/>
  <c r="AY158" i="29"/>
  <c r="AV158" i="29"/>
  <c r="AS158" i="29"/>
  <c r="AP158" i="29"/>
  <c r="AM158" i="29"/>
  <c r="AK158" i="29"/>
  <c r="AH158" i="29"/>
  <c r="P158" i="29"/>
  <c r="Q158" i="29" s="1"/>
  <c r="BD157" i="29"/>
  <c r="BB157" i="29"/>
  <c r="AY157" i="29"/>
  <c r="AV157" i="29"/>
  <c r="AS157" i="29"/>
  <c r="AP157" i="29"/>
  <c r="AM157" i="29"/>
  <c r="AK157" i="29"/>
  <c r="AH157" i="29"/>
  <c r="P157" i="29"/>
  <c r="Q157" i="29" s="1"/>
  <c r="BD156" i="29"/>
  <c r="BB156" i="29"/>
  <c r="AY156" i="29"/>
  <c r="AV156" i="29"/>
  <c r="AS156" i="29"/>
  <c r="AP156" i="29"/>
  <c r="AM156" i="29"/>
  <c r="AK156" i="29"/>
  <c r="AH156" i="29"/>
  <c r="P156" i="29"/>
  <c r="Q156" i="29" s="1"/>
  <c r="BD155" i="29"/>
  <c r="BB155" i="29"/>
  <c r="AY155" i="29"/>
  <c r="AV155" i="29"/>
  <c r="AS155" i="29"/>
  <c r="AP155" i="29"/>
  <c r="AM155" i="29"/>
  <c r="AK155" i="29"/>
  <c r="AH155" i="29"/>
  <c r="P155" i="29"/>
  <c r="Q155" i="29" s="1"/>
  <c r="BD154" i="29"/>
  <c r="BB154" i="29"/>
  <c r="AY154" i="29"/>
  <c r="AV154" i="29"/>
  <c r="AS154" i="29"/>
  <c r="AP154" i="29"/>
  <c r="AM154" i="29"/>
  <c r="AK154" i="29"/>
  <c r="AH154" i="29"/>
  <c r="P154" i="29"/>
  <c r="Q154" i="29" s="1"/>
  <c r="BD153" i="29"/>
  <c r="BB153" i="29"/>
  <c r="AY153" i="29"/>
  <c r="AV153" i="29"/>
  <c r="AS153" i="29"/>
  <c r="AP153" i="29"/>
  <c r="AM153" i="29"/>
  <c r="AK153" i="29"/>
  <c r="AH153" i="29"/>
  <c r="P153" i="29"/>
  <c r="Q153" i="29" s="1"/>
  <c r="BD152" i="29"/>
  <c r="BB152" i="29"/>
  <c r="AY152" i="29"/>
  <c r="AV152" i="29"/>
  <c r="AS152" i="29"/>
  <c r="AP152" i="29"/>
  <c r="AM152" i="29"/>
  <c r="AK152" i="29"/>
  <c r="AH152" i="29"/>
  <c r="P152" i="29"/>
  <c r="Q152" i="29" s="1"/>
  <c r="BD151" i="29"/>
  <c r="BB151" i="29"/>
  <c r="AY151" i="29"/>
  <c r="AV151" i="29"/>
  <c r="AS151" i="29"/>
  <c r="AP151" i="29"/>
  <c r="AM151" i="29"/>
  <c r="AK151" i="29"/>
  <c r="AH151" i="29"/>
  <c r="P151" i="29"/>
  <c r="Q151" i="29" s="1"/>
  <c r="BD150" i="29"/>
  <c r="BB150" i="29"/>
  <c r="AY150" i="29"/>
  <c r="AV150" i="29"/>
  <c r="AS150" i="29"/>
  <c r="AP150" i="29"/>
  <c r="AM150" i="29"/>
  <c r="AK150" i="29"/>
  <c r="AH150" i="29"/>
  <c r="P150" i="29"/>
  <c r="Q150" i="29" s="1"/>
  <c r="BD149" i="29"/>
  <c r="BB149" i="29"/>
  <c r="AY149" i="29"/>
  <c r="AV149" i="29"/>
  <c r="AS149" i="29"/>
  <c r="AP149" i="29"/>
  <c r="AM149" i="29"/>
  <c r="AK149" i="29"/>
  <c r="AH149" i="29"/>
  <c r="P149" i="29"/>
  <c r="Q149" i="29" s="1"/>
  <c r="BD148" i="29"/>
  <c r="BB148" i="29"/>
  <c r="AY148" i="29"/>
  <c r="AV148" i="29"/>
  <c r="AS148" i="29"/>
  <c r="AP148" i="29"/>
  <c r="AM148" i="29"/>
  <c r="AK148" i="29"/>
  <c r="AH148" i="29"/>
  <c r="P148" i="29"/>
  <c r="Q148" i="29" s="1"/>
  <c r="BD147" i="29"/>
  <c r="BB147" i="29"/>
  <c r="AY147" i="29"/>
  <c r="AV147" i="29"/>
  <c r="AS147" i="29"/>
  <c r="AP147" i="29"/>
  <c r="AM147" i="29"/>
  <c r="AK147" i="29"/>
  <c r="AH147" i="29"/>
  <c r="P147" i="29"/>
  <c r="Q147" i="29" s="1"/>
  <c r="BD146" i="29"/>
  <c r="BB146" i="29"/>
  <c r="AY146" i="29"/>
  <c r="AV146" i="29"/>
  <c r="AS146" i="29"/>
  <c r="AP146" i="29"/>
  <c r="AM146" i="29"/>
  <c r="AK146" i="29"/>
  <c r="AH146" i="29"/>
  <c r="P146" i="29"/>
  <c r="Q146" i="29" s="1"/>
  <c r="BD145" i="29"/>
  <c r="BB145" i="29"/>
  <c r="AY145" i="29"/>
  <c r="AV145" i="29"/>
  <c r="AS145" i="29"/>
  <c r="AP145" i="29"/>
  <c r="AM145" i="29"/>
  <c r="AK145" i="29"/>
  <c r="AH145" i="29"/>
  <c r="P145" i="29"/>
  <c r="Q145" i="29" s="1"/>
  <c r="BD144" i="29"/>
  <c r="BB144" i="29"/>
  <c r="AY144" i="29"/>
  <c r="AV144" i="29"/>
  <c r="AS144" i="29"/>
  <c r="AP144" i="29"/>
  <c r="AM144" i="29"/>
  <c r="AK144" i="29"/>
  <c r="AH144" i="29"/>
  <c r="P144" i="29"/>
  <c r="Q144" i="29" s="1"/>
  <c r="BD143" i="29"/>
  <c r="BB143" i="29"/>
  <c r="AY143" i="29"/>
  <c r="AV143" i="29"/>
  <c r="AS143" i="29"/>
  <c r="AP143" i="29"/>
  <c r="AM143" i="29"/>
  <c r="AK143" i="29"/>
  <c r="AH143" i="29"/>
  <c r="P143" i="29"/>
  <c r="Q143" i="29" s="1"/>
  <c r="BD142" i="29"/>
  <c r="BB142" i="29"/>
  <c r="AY142" i="29"/>
  <c r="AV142" i="29"/>
  <c r="AS142" i="29"/>
  <c r="AP142" i="29"/>
  <c r="AM142" i="29"/>
  <c r="AK142" i="29"/>
  <c r="AH142" i="29"/>
  <c r="P142" i="29"/>
  <c r="Q142" i="29" s="1"/>
  <c r="BD141" i="29"/>
  <c r="BB141" i="29"/>
  <c r="AY141" i="29"/>
  <c r="AV141" i="29"/>
  <c r="AS141" i="29"/>
  <c r="AP141" i="29"/>
  <c r="AM141" i="29"/>
  <c r="AK141" i="29"/>
  <c r="AH141" i="29"/>
  <c r="P141" i="29"/>
  <c r="Q141" i="29" s="1"/>
  <c r="BD140" i="29"/>
  <c r="BB140" i="29"/>
  <c r="AY140" i="29"/>
  <c r="AV140" i="29"/>
  <c r="AS140" i="29"/>
  <c r="AP140" i="29"/>
  <c r="AM140" i="29"/>
  <c r="AK140" i="29"/>
  <c r="AH140" i="29"/>
  <c r="P140" i="29"/>
  <c r="Q140" i="29" s="1"/>
  <c r="BD139" i="29"/>
  <c r="BB139" i="29"/>
  <c r="AY139" i="29"/>
  <c r="AV139" i="29"/>
  <c r="AS139" i="29"/>
  <c r="AP139" i="29"/>
  <c r="AM139" i="29"/>
  <c r="AK139" i="29"/>
  <c r="AH139" i="29"/>
  <c r="P139" i="29"/>
  <c r="Q139" i="29" s="1"/>
  <c r="BD138" i="29"/>
  <c r="BB138" i="29"/>
  <c r="AY138" i="29"/>
  <c r="AV138" i="29"/>
  <c r="AS138" i="29"/>
  <c r="AP138" i="29"/>
  <c r="AM138" i="29"/>
  <c r="AK138" i="29"/>
  <c r="AH138" i="29"/>
  <c r="P138" i="29"/>
  <c r="Q138" i="29" s="1"/>
  <c r="BD137" i="29"/>
  <c r="BB137" i="29"/>
  <c r="AY137" i="29"/>
  <c r="AV137" i="29"/>
  <c r="AS137" i="29"/>
  <c r="AP137" i="29"/>
  <c r="AM137" i="29"/>
  <c r="AK137" i="29"/>
  <c r="AH137" i="29"/>
  <c r="P137" i="29"/>
  <c r="Q137" i="29" s="1"/>
  <c r="BD136" i="29"/>
  <c r="BB136" i="29"/>
  <c r="AY136" i="29"/>
  <c r="AV136" i="29"/>
  <c r="AS136" i="29"/>
  <c r="AP136" i="29"/>
  <c r="AM136" i="29"/>
  <c r="AK136" i="29"/>
  <c r="AH136" i="29"/>
  <c r="P136" i="29"/>
  <c r="Q136" i="29" s="1"/>
  <c r="BD135" i="29"/>
  <c r="BB135" i="29"/>
  <c r="AY135" i="29"/>
  <c r="AV135" i="29"/>
  <c r="AS135" i="29"/>
  <c r="AP135" i="29"/>
  <c r="AM135" i="29"/>
  <c r="AK135" i="29"/>
  <c r="AH135" i="29"/>
  <c r="P135" i="29"/>
  <c r="Q135" i="29" s="1"/>
  <c r="BD134" i="29"/>
  <c r="BB134" i="29"/>
  <c r="AY134" i="29"/>
  <c r="AV134" i="29"/>
  <c r="AS134" i="29"/>
  <c r="AP134" i="29"/>
  <c r="AM134" i="29"/>
  <c r="AK134" i="29"/>
  <c r="AH134" i="29"/>
  <c r="P134" i="29"/>
  <c r="Q134" i="29" s="1"/>
  <c r="BD133" i="29"/>
  <c r="BB133" i="29"/>
  <c r="AY133" i="29"/>
  <c r="AV133" i="29"/>
  <c r="AS133" i="29"/>
  <c r="AP133" i="29"/>
  <c r="AM133" i="29"/>
  <c r="AK133" i="29"/>
  <c r="AH133" i="29"/>
  <c r="P133" i="29"/>
  <c r="Q133" i="29" s="1"/>
  <c r="BD132" i="29"/>
  <c r="BB132" i="29"/>
  <c r="AY132" i="29"/>
  <c r="AV132" i="29"/>
  <c r="AS132" i="29"/>
  <c r="AP132" i="29"/>
  <c r="AM132" i="29"/>
  <c r="AK132" i="29"/>
  <c r="AH132" i="29"/>
  <c r="P132" i="29"/>
  <c r="Q132" i="29" s="1"/>
  <c r="BD131" i="29"/>
  <c r="BB131" i="29"/>
  <c r="AY131" i="29"/>
  <c r="AV131" i="29"/>
  <c r="AS131" i="29"/>
  <c r="AP131" i="29"/>
  <c r="AM131" i="29"/>
  <c r="AK131" i="29"/>
  <c r="AH131" i="29"/>
  <c r="P131" i="29"/>
  <c r="Q131" i="29" s="1"/>
  <c r="BD130" i="29"/>
  <c r="BB130" i="29"/>
  <c r="AY130" i="29"/>
  <c r="AV130" i="29"/>
  <c r="AS130" i="29"/>
  <c r="AP130" i="29"/>
  <c r="AM130" i="29"/>
  <c r="AK130" i="29"/>
  <c r="AH130" i="29"/>
  <c r="P130" i="29"/>
  <c r="Q130" i="29" s="1"/>
  <c r="BD129" i="29"/>
  <c r="BB129" i="29"/>
  <c r="AY129" i="29"/>
  <c r="AV129" i="29"/>
  <c r="AS129" i="29"/>
  <c r="AP129" i="29"/>
  <c r="AM129" i="29"/>
  <c r="AK129" i="29"/>
  <c r="AH129" i="29"/>
  <c r="P129" i="29"/>
  <c r="Q129" i="29" s="1"/>
  <c r="BD128" i="29"/>
  <c r="BB128" i="29"/>
  <c r="AY128" i="29"/>
  <c r="AV128" i="29"/>
  <c r="AS128" i="29"/>
  <c r="AP128" i="29"/>
  <c r="AM128" i="29"/>
  <c r="AK128" i="29"/>
  <c r="AH128" i="29"/>
  <c r="P128" i="29"/>
  <c r="Q128" i="29" s="1"/>
  <c r="BD127" i="29"/>
  <c r="BB127" i="29"/>
  <c r="AY127" i="29"/>
  <c r="AV127" i="29"/>
  <c r="AS127" i="29"/>
  <c r="AP127" i="29"/>
  <c r="AM127" i="29"/>
  <c r="AK127" i="29"/>
  <c r="AH127" i="29"/>
  <c r="N127" i="29"/>
  <c r="BD126" i="29"/>
  <c r="BB126" i="29"/>
  <c r="AY126" i="29"/>
  <c r="AV126" i="29"/>
  <c r="AS126" i="29"/>
  <c r="AP126" i="29"/>
  <c r="AM126" i="29"/>
  <c r="AK126" i="29"/>
  <c r="AH126" i="29"/>
  <c r="P126" i="29"/>
  <c r="Q126" i="29" s="1"/>
  <c r="BD125" i="29"/>
  <c r="BB125" i="29"/>
  <c r="AY125" i="29"/>
  <c r="AV125" i="29"/>
  <c r="AS125" i="29"/>
  <c r="AP125" i="29"/>
  <c r="AM125" i="29"/>
  <c r="AK125" i="29"/>
  <c r="AH125" i="29"/>
  <c r="P125" i="29"/>
  <c r="Q125" i="29" s="1"/>
  <c r="BD124" i="29"/>
  <c r="BB124" i="29"/>
  <c r="AY124" i="29"/>
  <c r="AV124" i="29"/>
  <c r="AS124" i="29"/>
  <c r="AP124" i="29"/>
  <c r="AM124" i="29"/>
  <c r="AK124" i="29"/>
  <c r="AH124" i="29"/>
  <c r="P124" i="29"/>
  <c r="Q124" i="29" s="1"/>
  <c r="BD123" i="29"/>
  <c r="BB123" i="29"/>
  <c r="AY123" i="29"/>
  <c r="AV123" i="29"/>
  <c r="AS123" i="29"/>
  <c r="AP123" i="29"/>
  <c r="AM123" i="29"/>
  <c r="AK123" i="29"/>
  <c r="AH123" i="29"/>
  <c r="P123" i="29"/>
  <c r="Q123" i="29" s="1"/>
  <c r="BD122" i="29"/>
  <c r="BB122" i="29"/>
  <c r="AY122" i="29"/>
  <c r="AV122" i="29"/>
  <c r="AS122" i="29"/>
  <c r="AP122" i="29"/>
  <c r="AM122" i="29"/>
  <c r="AK122" i="29"/>
  <c r="AH122" i="29"/>
  <c r="P122" i="29"/>
  <c r="Q122" i="29" s="1"/>
  <c r="BD121" i="29"/>
  <c r="BB121" i="29"/>
  <c r="AY121" i="29"/>
  <c r="AV121" i="29"/>
  <c r="AS121" i="29"/>
  <c r="AP121" i="29"/>
  <c r="AM121" i="29"/>
  <c r="AK121" i="29"/>
  <c r="AH121" i="29"/>
  <c r="P121" i="29"/>
  <c r="Q121" i="29" s="1"/>
  <c r="BD120" i="29"/>
  <c r="BB120" i="29"/>
  <c r="AY120" i="29"/>
  <c r="AV120" i="29"/>
  <c r="AS120" i="29"/>
  <c r="AP120" i="29"/>
  <c r="AM120" i="29"/>
  <c r="AK120" i="29"/>
  <c r="AH120" i="29"/>
  <c r="P120" i="29"/>
  <c r="Q120" i="29" s="1"/>
  <c r="BD119" i="29"/>
  <c r="BB119" i="29"/>
  <c r="AY119" i="29"/>
  <c r="AV119" i="29"/>
  <c r="AS119" i="29"/>
  <c r="AP119" i="29"/>
  <c r="AM119" i="29"/>
  <c r="AK119" i="29"/>
  <c r="AH119" i="29"/>
  <c r="P119" i="29"/>
  <c r="Q119" i="29" s="1"/>
  <c r="BD118" i="29"/>
  <c r="BB118" i="29"/>
  <c r="AY118" i="29"/>
  <c r="AV118" i="29"/>
  <c r="AS118" i="29"/>
  <c r="AP118" i="29"/>
  <c r="AM118" i="29"/>
  <c r="AK118" i="29"/>
  <c r="AH118" i="29"/>
  <c r="P118" i="29"/>
  <c r="Q118" i="29" s="1"/>
  <c r="BD117" i="29"/>
  <c r="BB117" i="29"/>
  <c r="AY117" i="29"/>
  <c r="AV117" i="29"/>
  <c r="AS117" i="29"/>
  <c r="AP117" i="29"/>
  <c r="AM117" i="29"/>
  <c r="AK117" i="29"/>
  <c r="AH117" i="29"/>
  <c r="P117" i="29"/>
  <c r="Q117" i="29" s="1"/>
  <c r="BD116" i="29"/>
  <c r="BB116" i="29"/>
  <c r="AY116" i="29"/>
  <c r="AV116" i="29"/>
  <c r="AS116" i="29"/>
  <c r="AP116" i="29"/>
  <c r="AM116" i="29"/>
  <c r="AK116" i="29"/>
  <c r="AH116" i="29"/>
  <c r="P116" i="29"/>
  <c r="Q116" i="29" s="1"/>
  <c r="BD115" i="29"/>
  <c r="BB115" i="29"/>
  <c r="AY115" i="29"/>
  <c r="AV115" i="29"/>
  <c r="AS115" i="29"/>
  <c r="AP115" i="29"/>
  <c r="AM115" i="29"/>
  <c r="AK115" i="29"/>
  <c r="AH115" i="29"/>
  <c r="P115" i="29"/>
  <c r="Q115" i="29" s="1"/>
  <c r="BD114" i="29"/>
  <c r="BB114" i="29"/>
  <c r="AY114" i="29"/>
  <c r="AV114" i="29"/>
  <c r="AS114" i="29"/>
  <c r="AP114" i="29"/>
  <c r="AM114" i="29"/>
  <c r="AK114" i="29"/>
  <c r="AH114" i="29"/>
  <c r="P114" i="29"/>
  <c r="Q114" i="29" s="1"/>
  <c r="BD113" i="29"/>
  <c r="BB113" i="29"/>
  <c r="AY113" i="29"/>
  <c r="AV113" i="29"/>
  <c r="AS113" i="29"/>
  <c r="AP113" i="29"/>
  <c r="AM113" i="29"/>
  <c r="AK113" i="29"/>
  <c r="AH113" i="29"/>
  <c r="P113" i="29"/>
  <c r="Q113" i="29" s="1"/>
  <c r="BD112" i="29"/>
  <c r="BB112" i="29"/>
  <c r="AY112" i="29"/>
  <c r="AV112" i="29"/>
  <c r="AS112" i="29"/>
  <c r="AP112" i="29"/>
  <c r="AM112" i="29"/>
  <c r="AK112" i="29"/>
  <c r="AH112" i="29"/>
  <c r="P112" i="29"/>
  <c r="Q112" i="29" s="1"/>
  <c r="BD111" i="29"/>
  <c r="BB111" i="29"/>
  <c r="AY111" i="29"/>
  <c r="AV111" i="29"/>
  <c r="AS111" i="29"/>
  <c r="AP111" i="29"/>
  <c r="AM111" i="29"/>
  <c r="AK111" i="29"/>
  <c r="AH111" i="29"/>
  <c r="P111" i="29"/>
  <c r="Q111" i="29" s="1"/>
  <c r="BD110" i="29"/>
  <c r="BB110" i="29"/>
  <c r="AY110" i="29"/>
  <c r="AV110" i="29"/>
  <c r="AS110" i="29"/>
  <c r="AP110" i="29"/>
  <c r="AM110" i="29"/>
  <c r="AK110" i="29"/>
  <c r="AH110" i="29"/>
  <c r="P110" i="29"/>
  <c r="Q110" i="29" s="1"/>
  <c r="BD109" i="29"/>
  <c r="BB109" i="29"/>
  <c r="AY109" i="29"/>
  <c r="AV109" i="29"/>
  <c r="AS109" i="29"/>
  <c r="AP109" i="29"/>
  <c r="AM109" i="29"/>
  <c r="AK109" i="29"/>
  <c r="AH109" i="29"/>
  <c r="P109" i="29"/>
  <c r="Q109" i="29" s="1"/>
  <c r="BD108" i="29"/>
  <c r="BB108" i="29"/>
  <c r="AY108" i="29"/>
  <c r="AV108" i="29"/>
  <c r="AS108" i="29"/>
  <c r="AP108" i="29"/>
  <c r="AM108" i="29"/>
  <c r="AK108" i="29"/>
  <c r="AH108" i="29"/>
  <c r="P108" i="29"/>
  <c r="Q108" i="29" s="1"/>
  <c r="BD107" i="29"/>
  <c r="BB107" i="29"/>
  <c r="AY107" i="29"/>
  <c r="AV107" i="29"/>
  <c r="AS107" i="29"/>
  <c r="AP107" i="29"/>
  <c r="AM107" i="29"/>
  <c r="AK107" i="29"/>
  <c r="AH107" i="29"/>
  <c r="P107" i="29"/>
  <c r="Q107" i="29" s="1"/>
  <c r="BD106" i="29"/>
  <c r="BB106" i="29"/>
  <c r="AY106" i="29"/>
  <c r="AV106" i="29"/>
  <c r="AS106" i="29"/>
  <c r="AP106" i="29"/>
  <c r="AM106" i="29"/>
  <c r="AK106" i="29"/>
  <c r="AH106" i="29"/>
  <c r="N106" i="29"/>
  <c r="BD105" i="29"/>
  <c r="BB105" i="29"/>
  <c r="AY105" i="29"/>
  <c r="AV105" i="29"/>
  <c r="AS105" i="29"/>
  <c r="AP105" i="29"/>
  <c r="AM105" i="29"/>
  <c r="AK105" i="29"/>
  <c r="AH105" i="29"/>
  <c r="P105" i="29"/>
  <c r="Q105" i="29" s="1"/>
  <c r="BD104" i="29"/>
  <c r="BB104" i="29"/>
  <c r="AY104" i="29"/>
  <c r="AV104" i="29"/>
  <c r="AS104" i="29"/>
  <c r="AP104" i="29"/>
  <c r="AM104" i="29"/>
  <c r="AK104" i="29"/>
  <c r="AH104" i="29"/>
  <c r="P104" i="29"/>
  <c r="Q104" i="29" s="1"/>
  <c r="BD103" i="29"/>
  <c r="BB103" i="29"/>
  <c r="AY103" i="29"/>
  <c r="AV103" i="29"/>
  <c r="AS103" i="29"/>
  <c r="AP103" i="29"/>
  <c r="AM103" i="29"/>
  <c r="AK103" i="29"/>
  <c r="AH103" i="29"/>
  <c r="N103" i="29"/>
  <c r="BD102" i="29"/>
  <c r="BB102" i="29"/>
  <c r="AY102" i="29"/>
  <c r="AV102" i="29"/>
  <c r="AS102" i="29"/>
  <c r="AP102" i="29"/>
  <c r="AM102" i="29"/>
  <c r="AK102" i="29"/>
  <c r="AH102" i="29"/>
  <c r="P102" i="29"/>
  <c r="Q102" i="29" s="1"/>
  <c r="BD101" i="29"/>
  <c r="BB101" i="29"/>
  <c r="AY101" i="29"/>
  <c r="AV101" i="29"/>
  <c r="AS101" i="29"/>
  <c r="AP101" i="29"/>
  <c r="AM101" i="29"/>
  <c r="AK101" i="29"/>
  <c r="AH101" i="29"/>
  <c r="P101" i="29"/>
  <c r="Q101" i="29" s="1"/>
  <c r="BD100" i="29"/>
  <c r="BB100" i="29"/>
  <c r="AY100" i="29"/>
  <c r="AV100" i="29"/>
  <c r="AS100" i="29"/>
  <c r="AP100" i="29"/>
  <c r="AM100" i="29"/>
  <c r="AK100" i="29"/>
  <c r="AH100" i="29"/>
  <c r="P100" i="29"/>
  <c r="Q100" i="29" s="1"/>
  <c r="BD99" i="29"/>
  <c r="BB99" i="29"/>
  <c r="AY99" i="29"/>
  <c r="AV99" i="29"/>
  <c r="AS99" i="29"/>
  <c r="AP99" i="29"/>
  <c r="AM99" i="29"/>
  <c r="AK99" i="29"/>
  <c r="AH99" i="29"/>
  <c r="P99" i="29"/>
  <c r="Q99" i="29" s="1"/>
  <c r="BD98" i="29"/>
  <c r="BB98" i="29"/>
  <c r="AY98" i="29"/>
  <c r="AV98" i="29"/>
  <c r="AS98" i="29"/>
  <c r="AP98" i="29"/>
  <c r="AM98" i="29"/>
  <c r="AK98" i="29"/>
  <c r="AH98" i="29"/>
  <c r="P98" i="29"/>
  <c r="Q98" i="29" s="1"/>
  <c r="BD97" i="29"/>
  <c r="BB97" i="29"/>
  <c r="AY97" i="29"/>
  <c r="AV97" i="29"/>
  <c r="AS97" i="29"/>
  <c r="AP97" i="29"/>
  <c r="AM97" i="29"/>
  <c r="AK97" i="29"/>
  <c r="AH97" i="29"/>
  <c r="N97" i="29"/>
  <c r="BD96" i="29"/>
  <c r="BB96" i="29"/>
  <c r="AY96" i="29"/>
  <c r="AV96" i="29"/>
  <c r="AS96" i="29"/>
  <c r="AP96" i="29"/>
  <c r="AM96" i="29"/>
  <c r="AK96" i="29"/>
  <c r="AH96" i="29"/>
  <c r="P96" i="29"/>
  <c r="Q96" i="29" s="1"/>
  <c r="BD95" i="29"/>
  <c r="BB95" i="29"/>
  <c r="AY95" i="29"/>
  <c r="AV95" i="29"/>
  <c r="AS95" i="29"/>
  <c r="AP95" i="29"/>
  <c r="AM95" i="29"/>
  <c r="AK95" i="29"/>
  <c r="AH95" i="29"/>
  <c r="P95" i="29"/>
  <c r="Q95" i="29" s="1"/>
  <c r="BD94" i="29"/>
  <c r="BB94" i="29"/>
  <c r="AY94" i="29"/>
  <c r="AV94" i="29"/>
  <c r="AS94" i="29"/>
  <c r="AP94" i="29"/>
  <c r="AM94" i="29"/>
  <c r="AK94" i="29"/>
  <c r="AH94" i="29"/>
  <c r="P94" i="29"/>
  <c r="Q94" i="29" s="1"/>
  <c r="BD93" i="29"/>
  <c r="BB93" i="29"/>
  <c r="AY93" i="29"/>
  <c r="AV93" i="29"/>
  <c r="AS93" i="29"/>
  <c r="AP93" i="29"/>
  <c r="AM93" i="29"/>
  <c r="AK93" i="29"/>
  <c r="AH93" i="29"/>
  <c r="P93" i="29"/>
  <c r="Q93" i="29" s="1"/>
  <c r="BD92" i="29"/>
  <c r="BB92" i="29"/>
  <c r="AY92" i="29"/>
  <c r="AV92" i="29"/>
  <c r="AS92" i="29"/>
  <c r="AP92" i="29"/>
  <c r="AM92" i="29"/>
  <c r="AK92" i="29"/>
  <c r="AH92" i="29"/>
  <c r="P92" i="29"/>
  <c r="Q92" i="29" s="1"/>
  <c r="BD91" i="29"/>
  <c r="BB91" i="29"/>
  <c r="AY91" i="29"/>
  <c r="AV91" i="29"/>
  <c r="AS91" i="29"/>
  <c r="AP91" i="29"/>
  <c r="AM91" i="29"/>
  <c r="AK91" i="29"/>
  <c r="AH91" i="29"/>
  <c r="P91" i="29"/>
  <c r="Q91" i="29" s="1"/>
  <c r="BD90" i="29"/>
  <c r="BB90" i="29"/>
  <c r="AY90" i="29"/>
  <c r="AV90" i="29"/>
  <c r="AS90" i="29"/>
  <c r="AP90" i="29"/>
  <c r="AM90" i="29"/>
  <c r="AK90" i="29"/>
  <c r="AH90" i="29"/>
  <c r="Q90" i="29"/>
  <c r="P90" i="29"/>
  <c r="BD89" i="29"/>
  <c r="BB89" i="29"/>
  <c r="AY89" i="29"/>
  <c r="AV89" i="29"/>
  <c r="AS89" i="29"/>
  <c r="AP89" i="29"/>
  <c r="AM89" i="29"/>
  <c r="AK89" i="29"/>
  <c r="AH89" i="29"/>
  <c r="P89" i="29"/>
  <c r="Q89" i="29" s="1"/>
  <c r="BD88" i="29"/>
  <c r="BB88" i="29"/>
  <c r="AY88" i="29"/>
  <c r="AV88" i="29"/>
  <c r="AS88" i="29"/>
  <c r="AP88" i="29"/>
  <c r="AM88" i="29"/>
  <c r="AK88" i="29"/>
  <c r="AH88" i="29"/>
  <c r="P88" i="29"/>
  <c r="Q88" i="29" s="1"/>
  <c r="BD87" i="29"/>
  <c r="BB87" i="29"/>
  <c r="AY87" i="29"/>
  <c r="AV87" i="29"/>
  <c r="AS87" i="29"/>
  <c r="AP87" i="29"/>
  <c r="AM87" i="29"/>
  <c r="AK87" i="29"/>
  <c r="AH87" i="29"/>
  <c r="P87" i="29"/>
  <c r="Q87" i="29" s="1"/>
  <c r="BD86" i="29"/>
  <c r="BB86" i="29"/>
  <c r="AY86" i="29"/>
  <c r="AV86" i="29"/>
  <c r="AS86" i="29"/>
  <c r="AP86" i="29"/>
  <c r="AM86" i="29"/>
  <c r="AK86" i="29"/>
  <c r="AH86" i="29"/>
  <c r="P86" i="29"/>
  <c r="Q86" i="29" s="1"/>
  <c r="BD85" i="29"/>
  <c r="BB85" i="29"/>
  <c r="AY85" i="29"/>
  <c r="AV85" i="29"/>
  <c r="AS85" i="29"/>
  <c r="AP85" i="29"/>
  <c r="AM85" i="29"/>
  <c r="AK85" i="29"/>
  <c r="AH85" i="29"/>
  <c r="P85" i="29"/>
  <c r="Q85" i="29" s="1"/>
  <c r="BD84" i="29"/>
  <c r="BB84" i="29"/>
  <c r="AY84" i="29"/>
  <c r="AV84" i="29"/>
  <c r="AS84" i="29"/>
  <c r="AP84" i="29"/>
  <c r="AM84" i="29"/>
  <c r="AK84" i="29"/>
  <c r="AH84" i="29"/>
  <c r="P84" i="29"/>
  <c r="Q84" i="29" s="1"/>
  <c r="BD83" i="29"/>
  <c r="BB83" i="29"/>
  <c r="AY83" i="29"/>
  <c r="AV83" i="29"/>
  <c r="AS83" i="29"/>
  <c r="AP83" i="29"/>
  <c r="AM83" i="29"/>
  <c r="AK83" i="29"/>
  <c r="AH83" i="29"/>
  <c r="P83" i="29"/>
  <c r="Q83" i="29" s="1"/>
  <c r="BD82" i="29"/>
  <c r="BB82" i="29"/>
  <c r="AY82" i="29"/>
  <c r="AV82" i="29"/>
  <c r="AS82" i="29"/>
  <c r="AP82" i="29"/>
  <c r="AM82" i="29"/>
  <c r="AK82" i="29"/>
  <c r="AH82" i="29"/>
  <c r="P82" i="29"/>
  <c r="Q82" i="29" s="1"/>
  <c r="BD81" i="29"/>
  <c r="BB81" i="29"/>
  <c r="AY81" i="29"/>
  <c r="AV81" i="29"/>
  <c r="AS81" i="29"/>
  <c r="AP81" i="29"/>
  <c r="AM81" i="29"/>
  <c r="AK81" i="29"/>
  <c r="AH81" i="29"/>
  <c r="P81" i="29"/>
  <c r="Q81" i="29" s="1"/>
  <c r="BD80" i="29"/>
  <c r="BB80" i="29"/>
  <c r="AY80" i="29"/>
  <c r="AV80" i="29"/>
  <c r="AS80" i="29"/>
  <c r="AP80" i="29"/>
  <c r="AM80" i="29"/>
  <c r="AK80" i="29"/>
  <c r="AH80" i="29"/>
  <c r="P80" i="29"/>
  <c r="Q80" i="29" s="1"/>
  <c r="BD79" i="29"/>
  <c r="BB79" i="29"/>
  <c r="AY79" i="29"/>
  <c r="AV79" i="29"/>
  <c r="AS79" i="29"/>
  <c r="AP79" i="29"/>
  <c r="AM79" i="29"/>
  <c r="AK79" i="29"/>
  <c r="AH79" i="29"/>
  <c r="P79" i="29"/>
  <c r="Q79" i="29" s="1"/>
  <c r="BD78" i="29"/>
  <c r="BB78" i="29"/>
  <c r="AY78" i="29"/>
  <c r="AV78" i="29"/>
  <c r="AS78" i="29"/>
  <c r="AP78" i="29"/>
  <c r="AM78" i="29"/>
  <c r="AK78" i="29"/>
  <c r="AH78" i="29"/>
  <c r="P78" i="29"/>
  <c r="Q78" i="29" s="1"/>
  <c r="BD77" i="29"/>
  <c r="BB77" i="29"/>
  <c r="AY77" i="29"/>
  <c r="AV77" i="29"/>
  <c r="AS77" i="29"/>
  <c r="AP77" i="29"/>
  <c r="AM77" i="29"/>
  <c r="AK77" i="29"/>
  <c r="AH77" i="29"/>
  <c r="P77" i="29"/>
  <c r="Q77" i="29" s="1"/>
  <c r="BD76" i="29"/>
  <c r="BB76" i="29"/>
  <c r="AY76" i="29"/>
  <c r="AV76" i="29"/>
  <c r="AS76" i="29"/>
  <c r="AP76" i="29"/>
  <c r="AM76" i="29"/>
  <c r="AK76" i="29"/>
  <c r="AH76" i="29"/>
  <c r="Q76" i="29"/>
  <c r="P76" i="29"/>
  <c r="BD75" i="29"/>
  <c r="BB75" i="29"/>
  <c r="AY75" i="29"/>
  <c r="AV75" i="29"/>
  <c r="AS75" i="29"/>
  <c r="AP75" i="29"/>
  <c r="AM75" i="29"/>
  <c r="AK75" i="29"/>
  <c r="AH75" i="29"/>
  <c r="P75" i="29"/>
  <c r="Q75" i="29" s="1"/>
  <c r="BD74" i="29"/>
  <c r="BB74" i="29"/>
  <c r="AY74" i="29"/>
  <c r="AV74" i="29"/>
  <c r="AS74" i="29"/>
  <c r="AP74" i="29"/>
  <c r="AM74" i="29"/>
  <c r="AK74" i="29"/>
  <c r="AH74" i="29"/>
  <c r="P74" i="29"/>
  <c r="Q74" i="29" s="1"/>
  <c r="BD73" i="29"/>
  <c r="BB73" i="29"/>
  <c r="AY73" i="29"/>
  <c r="AV73" i="29"/>
  <c r="AS73" i="29"/>
  <c r="AP73" i="29"/>
  <c r="AM73" i="29"/>
  <c r="AK73" i="29"/>
  <c r="AH73" i="29"/>
  <c r="P73" i="29"/>
  <c r="Q73" i="29" s="1"/>
  <c r="BD72" i="29"/>
  <c r="BB72" i="29"/>
  <c r="AY72" i="29"/>
  <c r="AV72" i="29"/>
  <c r="AS72" i="29"/>
  <c r="AP72" i="29"/>
  <c r="AM72" i="29"/>
  <c r="AK72" i="29"/>
  <c r="AH72" i="29"/>
  <c r="P72" i="29"/>
  <c r="Q72" i="29" s="1"/>
  <c r="BD71" i="29"/>
  <c r="BB71" i="29"/>
  <c r="AY71" i="29"/>
  <c r="AV71" i="29"/>
  <c r="AS71" i="29"/>
  <c r="AP71" i="29"/>
  <c r="AM71" i="29"/>
  <c r="AK71" i="29"/>
  <c r="AH71" i="29"/>
  <c r="Q71" i="29"/>
  <c r="P71" i="29"/>
  <c r="BD70" i="29"/>
  <c r="BB70" i="29"/>
  <c r="AY70" i="29"/>
  <c r="AV70" i="29"/>
  <c r="AS70" i="29"/>
  <c r="AP70" i="29"/>
  <c r="AM70" i="29"/>
  <c r="AK70" i="29"/>
  <c r="AH70" i="29"/>
  <c r="P70" i="29"/>
  <c r="Q70" i="29" s="1"/>
  <c r="BD69" i="29"/>
  <c r="BB69" i="29"/>
  <c r="AY69" i="29"/>
  <c r="AV69" i="29"/>
  <c r="AS69" i="29"/>
  <c r="AP69" i="29"/>
  <c r="AM69" i="29"/>
  <c r="AK69" i="29"/>
  <c r="AH69" i="29"/>
  <c r="P69" i="29"/>
  <c r="Q69" i="29" s="1"/>
  <c r="BD68" i="29"/>
  <c r="BB68" i="29"/>
  <c r="AY68" i="29"/>
  <c r="AV68" i="29"/>
  <c r="AS68" i="29"/>
  <c r="AP68" i="29"/>
  <c r="AM68" i="29"/>
  <c r="AK68" i="29"/>
  <c r="AH68" i="29"/>
  <c r="P68" i="29"/>
  <c r="Q68" i="29" s="1"/>
  <c r="BD67" i="29"/>
  <c r="BB67" i="29"/>
  <c r="AY67" i="29"/>
  <c r="AV67" i="29"/>
  <c r="AS67" i="29"/>
  <c r="AP67" i="29"/>
  <c r="AM67" i="29"/>
  <c r="AK67" i="29"/>
  <c r="AH67" i="29"/>
  <c r="P67" i="29"/>
  <c r="Q67" i="29" s="1"/>
  <c r="BD66" i="29"/>
  <c r="BB66" i="29"/>
  <c r="AY66" i="29"/>
  <c r="AV66" i="29"/>
  <c r="AS66" i="29"/>
  <c r="AP66" i="29"/>
  <c r="AM66" i="29"/>
  <c r="AK66" i="29"/>
  <c r="AH66" i="29"/>
  <c r="Q66" i="29"/>
  <c r="P66" i="29"/>
  <c r="BD65" i="29"/>
  <c r="BB65" i="29"/>
  <c r="AY65" i="29"/>
  <c r="AV65" i="29"/>
  <c r="AS65" i="29"/>
  <c r="AP65" i="29"/>
  <c r="AM65" i="29"/>
  <c r="AK65" i="29"/>
  <c r="AH65" i="29"/>
  <c r="P65" i="29"/>
  <c r="Q65" i="29" s="1"/>
  <c r="BD64" i="29"/>
  <c r="BB64" i="29"/>
  <c r="AY64" i="29"/>
  <c r="AV64" i="29"/>
  <c r="AS64" i="29"/>
  <c r="AP64" i="29"/>
  <c r="AM64" i="29"/>
  <c r="AK64" i="29"/>
  <c r="AH64" i="29"/>
  <c r="P64" i="29"/>
  <c r="Q64" i="29" s="1"/>
  <c r="BD63" i="29"/>
  <c r="BB63" i="29"/>
  <c r="AY63" i="29"/>
  <c r="AV63" i="29"/>
  <c r="AS63" i="29"/>
  <c r="AP63" i="29"/>
  <c r="AM63" i="29"/>
  <c r="AK63" i="29"/>
  <c r="AH63" i="29"/>
  <c r="Q63" i="29"/>
  <c r="P63" i="29"/>
  <c r="BD62" i="29"/>
  <c r="BB62" i="29"/>
  <c r="AY62" i="29"/>
  <c r="AV62" i="29"/>
  <c r="AS62" i="29"/>
  <c r="AP62" i="29"/>
  <c r="AM62" i="29"/>
  <c r="AK62" i="29"/>
  <c r="AH62" i="29"/>
  <c r="P62" i="29"/>
  <c r="Q62" i="29" s="1"/>
  <c r="BD61" i="29"/>
  <c r="BB61" i="29"/>
  <c r="AY61" i="29"/>
  <c r="AV61" i="29"/>
  <c r="AS61" i="29"/>
  <c r="AM61" i="29"/>
  <c r="AK61" i="29"/>
  <c r="AH61" i="29"/>
  <c r="Q61" i="29"/>
  <c r="P61" i="29"/>
  <c r="BD60" i="29"/>
  <c r="BB60" i="29"/>
  <c r="AY60" i="29"/>
  <c r="AV60" i="29"/>
  <c r="AS60" i="29"/>
  <c r="AP60" i="29"/>
  <c r="AM60" i="29"/>
  <c r="AK60" i="29"/>
  <c r="AH60" i="29"/>
  <c r="P60" i="29"/>
  <c r="Q60" i="29" s="1"/>
  <c r="BD59" i="29"/>
  <c r="BB59" i="29"/>
  <c r="AY59" i="29"/>
  <c r="AV59" i="29"/>
  <c r="AS59" i="29"/>
  <c r="AP59" i="29"/>
  <c r="AM59" i="29"/>
  <c r="AK59" i="29"/>
  <c r="AH59" i="29"/>
  <c r="P59" i="29"/>
  <c r="Q59" i="29" s="1"/>
  <c r="BD58" i="29"/>
  <c r="BB58" i="29"/>
  <c r="AY58" i="29"/>
  <c r="AV58" i="29"/>
  <c r="AS58" i="29"/>
  <c r="AP58" i="29"/>
  <c r="AM58" i="29"/>
  <c r="AK58" i="29"/>
  <c r="AH58" i="29"/>
  <c r="Q58" i="29"/>
  <c r="P58" i="29"/>
  <c r="BD57" i="29"/>
  <c r="BB57" i="29"/>
  <c r="AY57" i="29"/>
  <c r="AV57" i="29"/>
  <c r="AS57" i="29"/>
  <c r="AP57" i="29"/>
  <c r="AM57" i="29"/>
  <c r="AK57" i="29"/>
  <c r="AH57" i="29"/>
  <c r="P57" i="29"/>
  <c r="Q57" i="29" s="1"/>
  <c r="BD56" i="29"/>
  <c r="BB56" i="29"/>
  <c r="AY56" i="29"/>
  <c r="AV56" i="29"/>
  <c r="AS56" i="29"/>
  <c r="AP56" i="29"/>
  <c r="AM56" i="29"/>
  <c r="AK56" i="29"/>
  <c r="AH56" i="29"/>
  <c r="P56" i="29"/>
  <c r="Q56" i="29" s="1"/>
  <c r="BD55" i="29"/>
  <c r="BB55" i="29"/>
  <c r="AY55" i="29"/>
  <c r="AV55" i="29"/>
  <c r="AS55" i="29"/>
  <c r="AP55" i="29"/>
  <c r="AM55" i="29"/>
  <c r="AK55" i="29"/>
  <c r="AH55" i="29"/>
  <c r="Q55" i="29"/>
  <c r="P55" i="29"/>
  <c r="BD54" i="29"/>
  <c r="BB54" i="29"/>
  <c r="AY54" i="29"/>
  <c r="AV54" i="29"/>
  <c r="AS54" i="29"/>
  <c r="AP54" i="29"/>
  <c r="AM54" i="29"/>
  <c r="AK54" i="29"/>
  <c r="AH54" i="29"/>
  <c r="P54" i="29"/>
  <c r="Q54" i="29" s="1"/>
  <c r="BD53" i="29"/>
  <c r="BB53" i="29"/>
  <c r="AY53" i="29"/>
  <c r="AV53" i="29"/>
  <c r="AS53" i="29"/>
  <c r="AP53" i="29"/>
  <c r="AM53" i="29"/>
  <c r="AK53" i="29"/>
  <c r="AH53" i="29"/>
  <c r="P53" i="29"/>
  <c r="Q53" i="29" s="1"/>
  <c r="BD52" i="29"/>
  <c r="BB52" i="29"/>
  <c r="AY52" i="29"/>
  <c r="AV52" i="29"/>
  <c r="AS52" i="29"/>
  <c r="AP52" i="29"/>
  <c r="AM52" i="29"/>
  <c r="AK52" i="29"/>
  <c r="AH52" i="29"/>
  <c r="P52" i="29"/>
  <c r="Q52" i="29" s="1"/>
  <c r="BD51" i="29"/>
  <c r="BB51" i="29"/>
  <c r="AY51" i="29"/>
  <c r="AV51" i="29"/>
  <c r="AS51" i="29"/>
  <c r="AP51" i="29"/>
  <c r="AM51" i="29"/>
  <c r="AK51" i="29"/>
  <c r="AH51" i="29"/>
  <c r="P51" i="29"/>
  <c r="Q51" i="29" s="1"/>
  <c r="BD50" i="29"/>
  <c r="BB50" i="29"/>
  <c r="AY50" i="29"/>
  <c r="AV50" i="29"/>
  <c r="AS50" i="29"/>
  <c r="AP50" i="29"/>
  <c r="AM50" i="29"/>
  <c r="AK50" i="29"/>
  <c r="AH50" i="29"/>
  <c r="Q50" i="29"/>
  <c r="P50" i="29"/>
  <c r="BD49" i="29"/>
  <c r="BB49" i="29"/>
  <c r="AY49" i="29"/>
  <c r="AV49" i="29"/>
  <c r="AS49" i="29"/>
  <c r="AP49" i="29"/>
  <c r="AM49" i="29"/>
  <c r="AK49" i="29"/>
  <c r="AH49" i="29"/>
  <c r="Q49" i="29"/>
  <c r="P49" i="29"/>
  <c r="BD48" i="29"/>
  <c r="BB48" i="29"/>
  <c r="AY48" i="29"/>
  <c r="AV48" i="29"/>
  <c r="AS48" i="29"/>
  <c r="AP48" i="29"/>
  <c r="AM48" i="29"/>
  <c r="AK48" i="29"/>
  <c r="AH48" i="29"/>
  <c r="P48" i="29"/>
  <c r="Q48" i="29" s="1"/>
  <c r="BD47" i="29"/>
  <c r="BB47" i="29"/>
  <c r="AY47" i="29"/>
  <c r="AV47" i="29"/>
  <c r="AS47" i="29"/>
  <c r="AP47" i="29"/>
  <c r="AM47" i="29"/>
  <c r="AK47" i="29"/>
  <c r="AH47" i="29"/>
  <c r="P47" i="29"/>
  <c r="Q47" i="29" s="1"/>
  <c r="BD46" i="29"/>
  <c r="BB46" i="29"/>
  <c r="AY46" i="29"/>
  <c r="AV46" i="29"/>
  <c r="AS46" i="29"/>
  <c r="AP46" i="29"/>
  <c r="AM46" i="29"/>
  <c r="AK46" i="29"/>
  <c r="AH46" i="29"/>
  <c r="P46" i="29"/>
  <c r="Q46" i="29" s="1"/>
  <c r="R46" i="29" s="1"/>
  <c r="G21" i="21"/>
  <c r="AP52" i="28"/>
  <c r="AM52" i="28"/>
  <c r="AK52" i="28"/>
  <c r="P52" i="28"/>
  <c r="Q52" i="28" s="1"/>
  <c r="AP51" i="28"/>
  <c r="AM51" i="28"/>
  <c r="AK51" i="28"/>
  <c r="P51" i="28"/>
  <c r="Q51" i="28" s="1"/>
  <c r="R51" i="28" s="1"/>
  <c r="AP50" i="28"/>
  <c r="AM50" i="28"/>
  <c r="AK50" i="28"/>
  <c r="P50" i="28"/>
  <c r="Q50" i="28" s="1"/>
  <c r="BD49" i="28"/>
  <c r="BB49" i="28"/>
  <c r="AY49" i="28"/>
  <c r="AV49" i="28"/>
  <c r="AS49" i="28"/>
  <c r="AP49" i="28"/>
  <c r="AM49" i="28"/>
  <c r="AK49" i="28"/>
  <c r="AH49" i="28"/>
  <c r="P49" i="28"/>
  <c r="Q49" i="28" s="1"/>
  <c r="R49" i="28" s="1"/>
  <c r="BD48" i="28"/>
  <c r="BB48" i="28"/>
  <c r="AY48" i="28"/>
  <c r="AV48" i="28"/>
  <c r="AS48" i="28"/>
  <c r="AP48" i="28"/>
  <c r="AM48" i="28"/>
  <c r="AK48" i="28"/>
  <c r="AH48" i="28"/>
  <c r="P48" i="28"/>
  <c r="Q48" i="28" s="1"/>
  <c r="R48" i="28" s="1"/>
  <c r="BD47" i="28"/>
  <c r="BB47" i="28"/>
  <c r="AY47" i="28"/>
  <c r="AV47" i="28"/>
  <c r="AS47" i="28"/>
  <c r="AP47" i="28"/>
  <c r="AM47" i="28"/>
  <c r="AK47" i="28"/>
  <c r="AH47" i="28"/>
  <c r="P47" i="28"/>
  <c r="Q47" i="28" s="1"/>
  <c r="AP46" i="28"/>
  <c r="AM46" i="28"/>
  <c r="AK46" i="28"/>
  <c r="P46" i="28"/>
  <c r="Q46" i="28" s="1"/>
  <c r="AP45" i="28"/>
  <c r="AM45" i="28"/>
  <c r="AK45" i="28"/>
  <c r="P45" i="28"/>
  <c r="Q45" i="28" s="1"/>
  <c r="R45" i="28" s="1"/>
  <c r="AP44" i="28"/>
  <c r="AM44" i="28"/>
  <c r="AK44" i="28"/>
  <c r="P44" i="28"/>
  <c r="Q44" i="28" s="1"/>
  <c r="BD43" i="28"/>
  <c r="BB43" i="28"/>
  <c r="AY43" i="28"/>
  <c r="AV43" i="28"/>
  <c r="AS43" i="28"/>
  <c r="AP43" i="28"/>
  <c r="AM43" i="28"/>
  <c r="AK43" i="28"/>
  <c r="AH43" i="28"/>
  <c r="P43" i="28"/>
  <c r="Q43" i="28" s="1"/>
  <c r="AP42" i="28"/>
  <c r="AM42" i="28"/>
  <c r="AK42" i="28"/>
  <c r="P42" i="28"/>
  <c r="Q42" i="28" s="1"/>
  <c r="AP41" i="28"/>
  <c r="AM41" i="28"/>
  <c r="AK41" i="28"/>
  <c r="P41" i="28"/>
  <c r="Q41" i="28" s="1"/>
  <c r="R41" i="28" s="1"/>
  <c r="AP40" i="28"/>
  <c r="AM40" i="28"/>
  <c r="AK40" i="28"/>
  <c r="P40" i="28"/>
  <c r="Q40" i="28" s="1"/>
  <c r="AP39" i="28"/>
  <c r="AM39" i="28"/>
  <c r="AK39" i="28"/>
  <c r="Q39" i="28"/>
  <c r="P39" i="28"/>
  <c r="AP38" i="28"/>
  <c r="AM38" i="28"/>
  <c r="AK38" i="28"/>
  <c r="P38" i="28"/>
  <c r="Q38" i="28" s="1"/>
  <c r="AP37" i="28"/>
  <c r="AM37" i="28"/>
  <c r="AK37" i="28"/>
  <c r="P37" i="28"/>
  <c r="Q37" i="28" s="1"/>
  <c r="AP36" i="28"/>
  <c r="AM36" i="28"/>
  <c r="AK36" i="28"/>
  <c r="P36" i="28"/>
  <c r="Q36" i="28" s="1"/>
  <c r="R36" i="28" s="1"/>
  <c r="AP35" i="28"/>
  <c r="AM35" i="28"/>
  <c r="AK35" i="28"/>
  <c r="P35" i="28"/>
  <c r="Q35" i="28" s="1"/>
  <c r="R35" i="28" s="1"/>
  <c r="AR34" i="28"/>
  <c r="AQ34" i="28"/>
  <c r="AP34" i="28"/>
  <c r="AM34" i="28"/>
  <c r="AK34" i="28"/>
  <c r="P34" i="28"/>
  <c r="Q34" i="28" s="1"/>
  <c r="R34" i="28" s="1"/>
  <c r="AP33" i="28"/>
  <c r="AM33" i="28"/>
  <c r="AK33" i="28"/>
  <c r="P33" i="28"/>
  <c r="Q33" i="28" s="1"/>
  <c r="R33" i="28" s="1"/>
  <c r="AP32" i="28"/>
  <c r="AM32" i="28"/>
  <c r="AK32" i="28"/>
  <c r="P32" i="28"/>
  <c r="Q32" i="28" s="1"/>
  <c r="R32" i="28" s="1"/>
  <c r="AP31" i="28"/>
  <c r="AM31" i="28"/>
  <c r="AK31" i="28"/>
  <c r="P31" i="28"/>
  <c r="Q31" i="28" s="1"/>
  <c r="BA30" i="28"/>
  <c r="AZ30" i="28"/>
  <c r="AX30" i="28"/>
  <c r="AW30" i="28"/>
  <c r="AU30" i="28"/>
  <c r="AT30" i="28"/>
  <c r="AR30" i="28"/>
  <c r="AQ30" i="28"/>
  <c r="AP30" i="28"/>
  <c r="AM30" i="28"/>
  <c r="AK30" i="28"/>
  <c r="P30" i="28"/>
  <c r="Q30" i="28" s="1"/>
  <c r="R30" i="28" s="1"/>
  <c r="AP29" i="28"/>
  <c r="AM29" i="28"/>
  <c r="AK29" i="28"/>
  <c r="P29" i="28"/>
  <c r="Q29" i="28" s="1"/>
  <c r="R29" i="28" s="1"/>
  <c r="P27" i="28"/>
  <c r="Q27" i="28" s="1"/>
  <c r="P26" i="28"/>
  <c r="Q26" i="28" s="1"/>
  <c r="P25" i="28"/>
  <c r="Q25" i="28" s="1"/>
  <c r="P24" i="28"/>
  <c r="Q24" i="28" s="1"/>
  <c r="P23" i="28"/>
  <c r="Q23" i="28" s="1"/>
  <c r="P22" i="28"/>
  <c r="Q22" i="28" s="1"/>
  <c r="P21" i="28"/>
  <c r="Q21" i="28" s="1"/>
  <c r="P20" i="28"/>
  <c r="Q20" i="28" s="1"/>
  <c r="P19" i="28"/>
  <c r="Q19" i="28" s="1"/>
  <c r="P18" i="28"/>
  <c r="Q18" i="28" s="1"/>
  <c r="P17" i="28"/>
  <c r="Q17" i="28" s="1"/>
  <c r="P16" i="28"/>
  <c r="Q16" i="28" s="1"/>
  <c r="P15" i="28"/>
  <c r="Q15" i="28" s="1"/>
  <c r="P14" i="28"/>
  <c r="Q14" i="28" s="1"/>
  <c r="P13" i="28"/>
  <c r="Q13" i="28" s="1"/>
  <c r="P12" i="28"/>
  <c r="Q12" i="28" s="1"/>
  <c r="P11" i="28"/>
  <c r="Q11" i="28" s="1"/>
  <c r="P10" i="28"/>
  <c r="Q10" i="28" s="1"/>
  <c r="P9" i="28"/>
  <c r="Q9" i="28" s="1"/>
  <c r="P8" i="28"/>
  <c r="Q8" i="28" s="1"/>
  <c r="P7" i="28"/>
  <c r="Q7" i="28" s="1"/>
  <c r="P6" i="28"/>
  <c r="Q6" i="28" s="1"/>
  <c r="P5" i="28"/>
  <c r="Q5" i="28" s="1"/>
  <c r="P4" i="28"/>
  <c r="Q4" i="28" s="1"/>
  <c r="P3" i="28"/>
  <c r="Q3" i="28" s="1"/>
  <c r="P2" i="28"/>
  <c r="Q2" i="28" s="1"/>
  <c r="AS4" i="21"/>
  <c r="R38" i="28" l="1"/>
  <c r="R42" i="28"/>
  <c r="R46" i="28"/>
  <c r="R50" i="28"/>
  <c r="R52" i="28"/>
  <c r="R37" i="28"/>
  <c r="R40" i="28"/>
  <c r="R44" i="28"/>
  <c r="R47" i="29"/>
  <c r="R48" i="29"/>
  <c r="R49" i="29"/>
  <c r="R50" i="29"/>
  <c r="R51" i="29"/>
  <c r="R52" i="29"/>
  <c r="R53" i="29"/>
  <c r="R54" i="29"/>
  <c r="R55" i="29"/>
  <c r="R56" i="29"/>
  <c r="R57" i="29"/>
  <c r="R58" i="29"/>
  <c r="R59" i="29"/>
  <c r="R60" i="29"/>
  <c r="R61" i="29"/>
  <c r="R62" i="29"/>
  <c r="R63" i="29"/>
  <c r="R64" i="29"/>
  <c r="R65" i="29"/>
  <c r="R66" i="29"/>
  <c r="R67" i="29"/>
  <c r="R68" i="29"/>
  <c r="R69" i="29"/>
  <c r="R70" i="29"/>
  <c r="R71" i="29"/>
  <c r="R72" i="29"/>
  <c r="R73" i="29"/>
  <c r="R74" i="29"/>
  <c r="R75" i="29"/>
  <c r="R76" i="29"/>
  <c r="R77" i="29"/>
  <c r="R78" i="29"/>
  <c r="R79" i="29"/>
  <c r="R80" i="29"/>
  <c r="R81" i="29"/>
  <c r="R82" i="29"/>
  <c r="R83" i="29"/>
  <c r="R84" i="29"/>
  <c r="R85" i="29"/>
  <c r="R86" i="29"/>
  <c r="R87" i="29"/>
  <c r="R88" i="29"/>
  <c r="R89" i="29"/>
  <c r="R90" i="29"/>
  <c r="R91" i="29"/>
  <c r="R92" i="29"/>
  <c r="R93" i="29"/>
  <c r="R94" i="29"/>
  <c r="R95" i="29"/>
  <c r="R96" i="29"/>
  <c r="R98" i="29"/>
  <c r="R99" i="29"/>
  <c r="R100" i="29"/>
  <c r="R101" i="29"/>
  <c r="R102" i="29"/>
  <c r="R104" i="29"/>
  <c r="R105" i="29"/>
  <c r="R107" i="29"/>
  <c r="R108" i="29"/>
  <c r="R109" i="29"/>
  <c r="R110" i="29"/>
  <c r="R111" i="29"/>
  <c r="R112" i="29"/>
  <c r="R113" i="29"/>
  <c r="R114" i="29"/>
  <c r="R115" i="29"/>
  <c r="R116" i="29"/>
  <c r="R117" i="29"/>
  <c r="R118" i="29"/>
  <c r="R119" i="29"/>
  <c r="R120" i="29"/>
  <c r="R121" i="29"/>
  <c r="R122" i="29"/>
  <c r="R123" i="29"/>
  <c r="R124" i="29"/>
  <c r="R125" i="29"/>
  <c r="R126" i="29"/>
  <c r="R128" i="29"/>
  <c r="R129" i="29"/>
  <c r="R130" i="29"/>
  <c r="R131" i="29"/>
  <c r="R132" i="29"/>
  <c r="R133" i="29"/>
  <c r="R134" i="29"/>
  <c r="R135" i="29"/>
  <c r="R136" i="29"/>
  <c r="R137" i="29"/>
  <c r="R138" i="29"/>
  <c r="R139" i="29"/>
  <c r="R140" i="29"/>
  <c r="R141" i="29"/>
  <c r="R142" i="29"/>
  <c r="R143" i="29"/>
  <c r="R144" i="29"/>
  <c r="R145" i="29"/>
  <c r="R146" i="29"/>
  <c r="R147" i="29"/>
  <c r="R148" i="29"/>
  <c r="R149" i="29"/>
  <c r="R150" i="29"/>
  <c r="R151" i="29"/>
  <c r="R152" i="29"/>
  <c r="R153" i="29"/>
  <c r="R154" i="29"/>
  <c r="R155" i="29"/>
  <c r="R156" i="29"/>
  <c r="R157" i="29"/>
  <c r="R158" i="29"/>
  <c r="R160" i="29"/>
  <c r="R161" i="29"/>
  <c r="R162" i="29"/>
  <c r="R163" i="29"/>
  <c r="R164" i="29"/>
  <c r="R165" i="29"/>
  <c r="R166" i="29"/>
  <c r="R167" i="29"/>
  <c r="R168" i="29"/>
  <c r="R169" i="29"/>
  <c r="R170" i="29"/>
  <c r="P171" i="29"/>
  <c r="Q171" i="29" s="1"/>
  <c r="R171" i="29" s="1"/>
  <c r="P127" i="29"/>
  <c r="P106" i="29"/>
  <c r="P103" i="29"/>
  <c r="P97" i="29"/>
  <c r="Q97" i="29" s="1"/>
  <c r="R97" i="29" s="1"/>
  <c r="Q103" i="29"/>
  <c r="R103" i="29" s="1"/>
  <c r="Q106" i="29"/>
  <c r="R106" i="29" s="1"/>
  <c r="Q127" i="29"/>
  <c r="R127" i="29" s="1"/>
  <c r="R31" i="28"/>
  <c r="R39" i="28"/>
  <c r="R43" i="28"/>
  <c r="R47" i="28"/>
  <c r="R2" i="28"/>
  <c r="R3" i="28"/>
  <c r="R4" i="28"/>
  <c r="R5" i="28"/>
  <c r="R6" i="28"/>
  <c r="R7" i="28"/>
  <c r="R8" i="28"/>
  <c r="R9" i="28"/>
  <c r="R10" i="28"/>
  <c r="R11" i="28"/>
  <c r="R12" i="28"/>
  <c r="R13" i="28"/>
  <c r="R14" i="28"/>
  <c r="R15" i="28"/>
  <c r="R16" i="28"/>
  <c r="R17" i="28"/>
  <c r="R18" i="28"/>
  <c r="R19" i="28"/>
  <c r="R20" i="28"/>
  <c r="R21" i="28"/>
  <c r="R22" i="28"/>
  <c r="R23" i="28"/>
  <c r="R24" i="28"/>
  <c r="R25" i="28"/>
  <c r="R26" i="28"/>
  <c r="R27" i="28"/>
  <c r="Q51" i="3" l="1"/>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M13" i="3"/>
  <c r="Q13" i="3" s="1"/>
  <c r="Q12" i="3"/>
  <c r="Q11" i="3"/>
  <c r="Q10" i="3"/>
  <c r="Q9" i="3"/>
  <c r="M8" i="3"/>
  <c r="Q8" i="3" s="1"/>
  <c r="Q7" i="3"/>
  <c r="Q6" i="3"/>
  <c r="Q5" i="3"/>
  <c r="Q4" i="3"/>
  <c r="Q3" i="3"/>
  <c r="G25" i="2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Bautista, Leonardo</author>
  </authors>
  <commentList>
    <comment ref="P1" authorId="0" shapeId="0" xr:uid="{9F957E5E-CDD5-40F5-B0E3-167B65683E24}">
      <text>
        <r>
          <rPr>
            <b/>
            <sz val="9"/>
            <color indexed="81"/>
            <rFont val="Tahoma"/>
            <family val="2"/>
          </rPr>
          <t>Bautista, Leonardo:</t>
        </r>
        <r>
          <rPr>
            <sz val="9"/>
            <color indexed="81"/>
            <rFont val="Tahoma"/>
            <family val="2"/>
          </rPr>
          <t xml:space="preserve">
Nivel de tensión AC (110V o 220V AC) en DC 48VDC.
</t>
        </r>
      </text>
    </comment>
    <comment ref="U1" authorId="0" shapeId="0" xr:uid="{E02CAE36-EC2D-4156-A437-466627A8CEEF}">
      <text>
        <r>
          <rPr>
            <b/>
            <sz val="9"/>
            <color indexed="81"/>
            <rFont val="Tahoma"/>
            <family val="2"/>
          </rPr>
          <t>Bautista, Leonardo:</t>
        </r>
        <r>
          <rPr>
            <sz val="9"/>
            <color indexed="81"/>
            <rFont val="Tahoma"/>
            <family val="2"/>
          </rPr>
          <t xml:space="preserve">
Nivel de tensión AC (110V o 220V AC) en DC 48VDC.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Bautista, Leonardo</author>
  </authors>
  <commentList>
    <comment ref="P2" authorId="0" shapeId="0" xr:uid="{230D365E-C56D-4037-98AA-A4CCA12B0CAE}">
      <text>
        <r>
          <rPr>
            <b/>
            <sz val="9"/>
            <color indexed="81"/>
            <rFont val="Tahoma"/>
            <family val="2"/>
          </rPr>
          <t>Bautista, Leonardo:</t>
        </r>
        <r>
          <rPr>
            <sz val="9"/>
            <color indexed="81"/>
            <rFont val="Tahoma"/>
            <family val="2"/>
          </rPr>
          <t xml:space="preserve">
Nivel de tensión AC (110V o 220V AC) en DC 48VDC.
</t>
        </r>
      </text>
    </comment>
    <comment ref="U2" authorId="0" shapeId="0" xr:uid="{AB0D9C9C-4F7E-4ADA-8812-E708F7EBFF18}">
      <text>
        <r>
          <rPr>
            <b/>
            <sz val="9"/>
            <color indexed="81"/>
            <rFont val="Tahoma"/>
            <family val="2"/>
          </rPr>
          <t>Bautista, Leonardo:</t>
        </r>
        <r>
          <rPr>
            <sz val="9"/>
            <color indexed="81"/>
            <rFont val="Tahoma"/>
            <family val="2"/>
          </rPr>
          <t xml:space="preserve">
Nivel de tensión AC (110V o 220V AC) en DC 48VDC.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Edwin Mora Suarez</author>
    <author>Bautista, Leonardo</author>
  </authors>
  <commentList>
    <comment ref="A1" authorId="0" shapeId="0" xr:uid="{3B60A723-0F28-435C-8FE8-FD3DF213A7D4}">
      <text>
        <r>
          <rPr>
            <b/>
            <sz val="9"/>
            <color indexed="81"/>
            <rFont val="Tahoma"/>
            <family val="2"/>
          </rPr>
          <t>John Edwin Mora Suarez:</t>
        </r>
        <r>
          <rPr>
            <sz val="9"/>
            <color indexed="81"/>
            <rFont val="Tahoma"/>
            <family val="2"/>
          </rPr>
          <t xml:space="preserve">
Si es tarjeta colocar el nombre del equipo en el que se va a instalar</t>
        </r>
      </text>
    </comment>
    <comment ref="F1" authorId="0" shapeId="0" xr:uid="{D0C16FBE-B797-46D9-88CC-CB44DE4A98C8}">
      <text>
        <r>
          <rPr>
            <b/>
            <sz val="9"/>
            <color indexed="81"/>
            <rFont val="Tahoma"/>
            <family val="2"/>
          </rPr>
          <t>John Edwin Mora Suarez:</t>
        </r>
        <r>
          <rPr>
            <sz val="9"/>
            <color indexed="81"/>
            <rFont val="Tahoma"/>
            <family val="2"/>
          </rPr>
          <t xml:space="preserve">
estándar 19" abierto
estándar 19" cerrado
Especial 21"</t>
        </r>
      </text>
    </comment>
    <comment ref="H1" authorId="0" shapeId="0" xr:uid="{B236AF56-9E31-4333-8F43-F1639E70CCF5}">
      <text>
        <r>
          <rPr>
            <b/>
            <sz val="9"/>
            <color indexed="81"/>
            <rFont val="Tahoma"/>
            <family val="2"/>
          </rPr>
          <t>John Edwin Mora Suarez:</t>
        </r>
        <r>
          <rPr>
            <sz val="9"/>
            <color indexed="81"/>
            <rFont val="Tahoma"/>
            <family val="2"/>
          </rPr>
          <t xml:space="preserve">
Potencia con la que va a iniciar el funcionamiento del equipo</t>
        </r>
      </text>
    </comment>
    <comment ref="I1" authorId="0" shapeId="0" xr:uid="{A15D441A-4835-48D6-8DFB-381F44938A0C}">
      <text>
        <r>
          <rPr>
            <b/>
            <sz val="9"/>
            <color indexed="81"/>
            <rFont val="Tahoma"/>
            <family val="2"/>
          </rPr>
          <t>John Edwin Mora Suarez:</t>
        </r>
        <r>
          <rPr>
            <sz val="9"/>
            <color indexed="81"/>
            <rFont val="Tahoma"/>
            <family val="2"/>
          </rPr>
          <t xml:space="preserve">
Potencia del equipo a full implementación</t>
        </r>
      </text>
    </comment>
    <comment ref="J1" authorId="0" shapeId="0" xr:uid="{1E5D0F05-9BBF-42F0-B229-4A987122BB3F}">
      <text>
        <r>
          <rPr>
            <b/>
            <sz val="9"/>
            <color indexed="81"/>
            <rFont val="Tahoma"/>
            <family val="2"/>
          </rPr>
          <t>John Edwin Mora Suarez:</t>
        </r>
        <r>
          <rPr>
            <sz val="9"/>
            <color indexed="81"/>
            <rFont val="Tahoma"/>
            <family val="2"/>
          </rPr>
          <t xml:space="preserve">
Si o NO</t>
        </r>
      </text>
    </comment>
    <comment ref="K1" authorId="0" shapeId="0" xr:uid="{947AB411-6346-40BD-AE9A-FC6292F369A7}">
      <text>
        <r>
          <rPr>
            <b/>
            <sz val="9"/>
            <color indexed="81"/>
            <rFont val="Tahoma"/>
            <family val="2"/>
          </rPr>
          <t>John Edwin Mora Suarez:</t>
        </r>
        <r>
          <rPr>
            <sz val="9"/>
            <color indexed="81"/>
            <rFont val="Tahoma"/>
            <family val="2"/>
          </rPr>
          <t xml:space="preserve">
Colocar valor de potencia liberada</t>
        </r>
      </text>
    </comment>
    <comment ref="M1" authorId="1" shapeId="0" xr:uid="{681FE445-D131-469A-A55C-F60D7C8992BA}">
      <text>
        <r>
          <rPr>
            <b/>
            <sz val="9"/>
            <color indexed="81"/>
            <rFont val="Tahoma"/>
            <family val="2"/>
          </rPr>
          <t>Bautista, Leonardo:</t>
        </r>
        <r>
          <rPr>
            <sz val="9"/>
            <color indexed="81"/>
            <rFont val="Tahoma"/>
            <family val="2"/>
          </rPr>
          <t xml:space="preserve">
Nivel de tensión AC (110V o 220V AC) en DC 48VDC.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Bautista, Leonardo</author>
  </authors>
  <commentList>
    <comment ref="S1" authorId="0" shapeId="0" xr:uid="{06074BDC-7905-42EA-80FA-CA8E25896C55}">
      <text>
        <r>
          <rPr>
            <b/>
            <sz val="9"/>
            <color indexed="81"/>
            <rFont val="Tahoma"/>
            <family val="2"/>
          </rPr>
          <t>Bautista, Leonardo:</t>
        </r>
        <r>
          <rPr>
            <sz val="9"/>
            <color indexed="81"/>
            <rFont val="Tahoma"/>
            <family val="2"/>
          </rPr>
          <t xml:space="preserve">
Nivel de tensión AC (110V o 220V AC) en DC 48VDC.
</t>
        </r>
      </text>
    </comment>
    <comment ref="X1" authorId="0" shapeId="0" xr:uid="{6A18DDF6-3CE8-4A78-9D36-7A741C8727BB}">
      <text>
        <r>
          <rPr>
            <b/>
            <sz val="9"/>
            <color indexed="81"/>
            <rFont val="Tahoma"/>
            <family val="2"/>
          </rPr>
          <t>Bautista, Leonardo:</t>
        </r>
        <r>
          <rPr>
            <sz val="9"/>
            <color indexed="81"/>
            <rFont val="Tahoma"/>
            <family val="2"/>
          </rPr>
          <t xml:space="preserve">
Nivel de tensión AC (110V o 220V AC) en DC 48VDC.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Bautista, Leonardo</author>
    <author>John Edwin Mora Suarez</author>
    <author>tc={15C78DD2-FF90-4EDD-AFC8-FC4718F650B7}</author>
  </authors>
  <commentList>
    <comment ref="S1" authorId="0" shapeId="0" xr:uid="{0CDB6FC0-BDEB-4040-8748-7F016B071BB1}">
      <text>
        <r>
          <rPr>
            <b/>
            <sz val="9"/>
            <color indexed="81"/>
            <rFont val="Tahoma"/>
            <family val="2"/>
          </rPr>
          <t>Bautista, Leonardo:</t>
        </r>
        <r>
          <rPr>
            <sz val="9"/>
            <color indexed="81"/>
            <rFont val="Tahoma"/>
            <family val="2"/>
          </rPr>
          <t xml:space="preserve">
Nivel de tensión AC (110V o 220V AC) en DC 48VDC.
</t>
        </r>
      </text>
    </comment>
    <comment ref="X1" authorId="0" shapeId="0" xr:uid="{169C9530-12C6-440D-A1E3-26BF19FAE921}">
      <text>
        <r>
          <rPr>
            <b/>
            <sz val="9"/>
            <color indexed="81"/>
            <rFont val="Tahoma"/>
            <family val="2"/>
          </rPr>
          <t>Bautista, Leonardo:</t>
        </r>
        <r>
          <rPr>
            <sz val="9"/>
            <color indexed="81"/>
            <rFont val="Tahoma"/>
            <family val="2"/>
          </rPr>
          <t xml:space="preserve">
Nivel de tensión AC (110V o 220V AC) en DC 48VDC.
</t>
        </r>
      </text>
    </comment>
    <comment ref="AQ6" authorId="1" shapeId="0" xr:uid="{0A3B982F-FA14-4DA4-9FD9-F588D377B822}">
      <text>
        <r>
          <rPr>
            <sz val="11"/>
            <color theme="1"/>
            <rFont val="Calibri"/>
            <family val="2"/>
            <scheme val="minor"/>
          </rPr>
          <t xml:space="preserve">John Edwin Mora Suarez:
Se usa rectificador nuevos sitios 2022, se deja valor servicios instalación y cableado
</t>
        </r>
      </text>
    </comment>
    <comment ref="AQ12" authorId="1" shapeId="0" xr:uid="{7D108C81-4108-43CE-88D3-C5A6F4405F79}">
      <text>
        <r>
          <rPr>
            <sz val="11"/>
            <color theme="1"/>
            <rFont val="Calibri"/>
            <family val="2"/>
            <scheme val="minor"/>
          </rPr>
          <t>John Edwin Mora Suarez:
Se usa rectificador nuevos sitios 2022, se deja valor servicios instalación y cableado</t>
        </r>
      </text>
    </comment>
    <comment ref="AQ76" authorId="1" shapeId="0" xr:uid="{DA21FE13-4164-424B-965E-C3BFD1E979A7}">
      <text>
        <r>
          <rPr>
            <sz val="11"/>
            <color theme="1"/>
            <rFont val="Calibri"/>
            <family val="2"/>
            <scheme val="minor"/>
          </rPr>
          <t>John Edwin Mora Suarez:
Se usa rectificador nuevos sitios 2022, se deja valor servicios instalación y cableado</t>
        </r>
      </text>
    </comment>
    <comment ref="AT76" authorId="1" shapeId="0" xr:uid="{67360A42-696B-450C-A941-961EDAD8A2D6}">
      <text>
        <r>
          <rPr>
            <sz val="11"/>
            <color theme="1"/>
            <rFont val="Calibri"/>
            <family val="2"/>
            <scheme val="minor"/>
          </rPr>
          <t>John Edwin Mora Suarez:
Se usa 2 bancos de nuevos nodos 2022, se deja costos de servicios de instalación y cableado más la compra de 2 nuevos</t>
        </r>
      </text>
    </comment>
    <comment ref="AQ114" authorId="2" shapeId="0" xr:uid="{15C78DD2-FF90-4EDD-AFC8-FC4718F650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 usa rectificador de nuevos sitios, se deja servicios de instalación y cableado</t>
      </text>
    </comment>
    <comment ref="AT114" authorId="1" shapeId="0" xr:uid="{B50EEED9-A0B6-41AE-9B2E-B248974DDE0E}">
      <text>
        <r>
          <rPr>
            <sz val="11"/>
            <color theme="1"/>
            <rFont val="Calibri"/>
            <family val="2"/>
            <scheme val="minor"/>
          </rPr>
          <t>John Edwin Mora Suarez:
Se usa 1 banco de nuevos nodos 2022</t>
        </r>
      </text>
    </comment>
  </commentList>
</comments>
</file>

<file path=xl/sharedStrings.xml><?xml version="1.0" encoding="utf-8"?>
<sst xmlns="http://schemas.openxmlformats.org/spreadsheetml/2006/main" count="16453" uniqueCount="634">
  <si>
    <t>Platform or Equipment</t>
  </si>
  <si>
    <t>Associated Services to the platform</t>
  </si>
  <si>
    <t>Income / Dismount</t>
  </si>
  <si>
    <t>Responsable  Technical Area</t>
  </si>
  <si>
    <t>Responsable Technician</t>
  </si>
  <si>
    <t>Year</t>
  </si>
  <si>
    <t>Technical Site</t>
  </si>
  <si>
    <t>City</t>
  </si>
  <si>
    <t>Regional</t>
  </si>
  <si>
    <t>Additional m2? 
Yes/No</t>
  </si>
  <si>
    <t>If Yes: 
# Racks?</t>
  </si>
  <si>
    <t>Quantity Equipment DC</t>
  </si>
  <si>
    <t>Average Power (W)</t>
  </si>
  <si>
    <t>Máx. Power DC (W)</t>
  </si>
  <si>
    <t>Potencia a liberar</t>
  </si>
  <si>
    <t>Voltage
(AC or DC)</t>
  </si>
  <si>
    <t>Air DissipationBTU</t>
  </si>
  <si>
    <t>Power sources</t>
  </si>
  <si>
    <t>Quantity Equipment AC</t>
  </si>
  <si>
    <t>Máx. Power AC (W)</t>
  </si>
  <si>
    <t>Requested Area (M2)</t>
  </si>
  <si>
    <t>Instalation date</t>
  </si>
  <si>
    <t>Priority</t>
  </si>
  <si>
    <t>Comments (Área Ingeniería)</t>
  </si>
  <si>
    <t>Plataforma OLT Equipo Nuevo</t>
  </si>
  <si>
    <t>BBI-TV-TOIP</t>
  </si>
  <si>
    <t>Income</t>
  </si>
  <si>
    <t>ACCESO FIJO</t>
  </si>
  <si>
    <t>Henry Campos</t>
  </si>
  <si>
    <t>Centro EDATEL</t>
  </si>
  <si>
    <t>Puerto Berrio</t>
  </si>
  <si>
    <t> </t>
  </si>
  <si>
    <t>Yes</t>
  </si>
  <si>
    <t>DC</t>
  </si>
  <si>
    <t>Q2</t>
  </si>
  <si>
    <t>Segovia</t>
  </si>
  <si>
    <t>Chigorodó</t>
  </si>
  <si>
    <t>Castilla</t>
  </si>
  <si>
    <t>MEDELLÍN</t>
  </si>
  <si>
    <t>Q1</t>
  </si>
  <si>
    <t>Berlín</t>
  </si>
  <si>
    <t>Villa Hermosa</t>
  </si>
  <si>
    <t>Florencia</t>
  </si>
  <si>
    <t>Bosque</t>
  </si>
  <si>
    <t>Belén</t>
  </si>
  <si>
    <t>MANIZALES</t>
  </si>
  <si>
    <t>Centro</t>
  </si>
  <si>
    <t>BUGA</t>
  </si>
  <si>
    <t>Álamos</t>
  </si>
  <si>
    <t>Pereira</t>
  </si>
  <si>
    <t>San Francisco</t>
  </si>
  <si>
    <t>Bucaramanga</t>
  </si>
  <si>
    <t>Jamundí</t>
  </si>
  <si>
    <t>Cali</t>
  </si>
  <si>
    <t>Cartago</t>
  </si>
  <si>
    <t>Q3</t>
  </si>
  <si>
    <t>Montevideo</t>
  </si>
  <si>
    <t>Bogotá</t>
  </si>
  <si>
    <t>Zaragocilla</t>
  </si>
  <si>
    <t>Cartagena</t>
  </si>
  <si>
    <t>Limonar</t>
  </si>
  <si>
    <t>Nuevo Nodo (Reemplzao ECE)</t>
  </si>
  <si>
    <t>Santa Marta</t>
  </si>
  <si>
    <t>Quinta Vélez</t>
  </si>
  <si>
    <t>Cúcuta</t>
  </si>
  <si>
    <t>La Ceja</t>
  </si>
  <si>
    <t>Medellín</t>
  </si>
  <si>
    <t>Niquia</t>
  </si>
  <si>
    <t>Girardota</t>
  </si>
  <si>
    <t>Vasquez Cobo</t>
  </si>
  <si>
    <t>CAN</t>
  </si>
  <si>
    <t>Cantalejo</t>
  </si>
  <si>
    <t>Colón</t>
  </si>
  <si>
    <t>Chinchiná</t>
  </si>
  <si>
    <t>San Vicente</t>
  </si>
  <si>
    <t>Santa Rosa de Cabal</t>
  </si>
  <si>
    <t>Puerto Colombia</t>
  </si>
  <si>
    <t>Sin Definir</t>
  </si>
  <si>
    <t>Plataforma RemotePhy Equipo Nuevo</t>
  </si>
  <si>
    <t>Jorge Mauricio</t>
  </si>
  <si>
    <t>Miraflores</t>
  </si>
  <si>
    <t>Monteria</t>
  </si>
  <si>
    <t>Valledupar</t>
  </si>
  <si>
    <t>Timiza</t>
  </si>
  <si>
    <t>Gamma</t>
  </si>
  <si>
    <t>Itaguí</t>
  </si>
  <si>
    <t xml:space="preserve">Plataforma CMTS Tradicional Equipo Nuevo </t>
  </si>
  <si>
    <t>Juan Valdes</t>
  </si>
  <si>
    <t>Plataforma CMTS Tradicional Equipo Nuevo</t>
  </si>
  <si>
    <t>Engativá</t>
  </si>
  <si>
    <t>Plataforma Óptica</t>
  </si>
  <si>
    <t>Gerencia Acceso Fijo</t>
  </si>
  <si>
    <t>Jorge Ivan Pérez Cardona</t>
  </si>
  <si>
    <t>48 VDC</t>
  </si>
  <si>
    <t>Q1-Q2</t>
  </si>
  <si>
    <t>Transmisores y Receptotes Ópticos</t>
  </si>
  <si>
    <t>Quinta Camacho</t>
  </si>
  <si>
    <t>El Carmen</t>
  </si>
  <si>
    <t>Engativa</t>
  </si>
  <si>
    <t>La Fragua</t>
  </si>
  <si>
    <t>La Paz (Bosa)</t>
  </si>
  <si>
    <t>Suba</t>
  </si>
  <si>
    <t>Montevídeo</t>
  </si>
  <si>
    <t>Santa Bibiana</t>
  </si>
  <si>
    <t>Valladolid</t>
  </si>
  <si>
    <t>Visión Colombia</t>
  </si>
  <si>
    <t>San Benito</t>
  </si>
  <si>
    <t>Villavicencio</t>
  </si>
  <si>
    <t>Centro Edatel</t>
  </si>
  <si>
    <t>Apartadó</t>
  </si>
  <si>
    <t>Caucasia</t>
  </si>
  <si>
    <t>Turbo</t>
  </si>
  <si>
    <t>Copacabana</t>
  </si>
  <si>
    <t>Bello</t>
  </si>
  <si>
    <t>Buenos Aires</t>
  </si>
  <si>
    <t>Caribe</t>
  </si>
  <si>
    <t>Iguana</t>
  </si>
  <si>
    <t>La América</t>
  </si>
  <si>
    <t>San Bernardo</t>
  </si>
  <si>
    <t>San Javier</t>
  </si>
  <si>
    <t>Nutibara</t>
  </si>
  <si>
    <t>Los Balsos</t>
  </si>
  <si>
    <t>Poblado</t>
  </si>
  <si>
    <t>Guayabal</t>
  </si>
  <si>
    <t>Otrabanda</t>
  </si>
  <si>
    <t>Villahermosa</t>
  </si>
  <si>
    <t>San Antonio de Prado</t>
  </si>
  <si>
    <t>Caldas</t>
  </si>
  <si>
    <t>El Retiro</t>
  </si>
  <si>
    <t>Envigado</t>
  </si>
  <si>
    <t>Itagui</t>
  </si>
  <si>
    <t>La Estrella</t>
  </si>
  <si>
    <t>Sabaneta</t>
  </si>
  <si>
    <t>Rionegro</t>
  </si>
  <si>
    <t>Prado Office center</t>
  </si>
  <si>
    <t>Barranquilla</t>
  </si>
  <si>
    <t>Simon Bolivar</t>
  </si>
  <si>
    <t>Tabor</t>
  </si>
  <si>
    <t>Linda Vista</t>
  </si>
  <si>
    <t>Nogales</t>
  </si>
  <si>
    <t>Valenza</t>
  </si>
  <si>
    <t>Turbaco</t>
  </si>
  <si>
    <t>Centro Ejecutivo</t>
  </si>
  <si>
    <t>Montería</t>
  </si>
  <si>
    <t>Sincelejo</t>
  </si>
  <si>
    <t>Camara de Comercio</t>
  </si>
  <si>
    <t>Armenia</t>
  </si>
  <si>
    <t>Cabecera</t>
  </si>
  <si>
    <t>Nuevo Hub</t>
  </si>
  <si>
    <t>Belen</t>
  </si>
  <si>
    <t>Manizales</t>
  </si>
  <si>
    <t>Jardin</t>
  </si>
  <si>
    <t>Ibagué</t>
  </si>
  <si>
    <t>Camelia</t>
  </si>
  <si>
    <t>Buga</t>
  </si>
  <si>
    <t>Guaduales - Nuveo Hub</t>
  </si>
  <si>
    <t>Velez Soto</t>
  </si>
  <si>
    <t>Palmira</t>
  </si>
  <si>
    <t>La Floresta</t>
  </si>
  <si>
    <t>Pasto</t>
  </si>
  <si>
    <t>Prados del Norte</t>
  </si>
  <si>
    <t>Popayán</t>
  </si>
  <si>
    <t>Campiña</t>
  </si>
  <si>
    <t>Tuluá</t>
  </si>
  <si>
    <t>Barrancabermeja</t>
  </si>
  <si>
    <t>Anillo Vial</t>
  </si>
  <si>
    <t>La Florida</t>
  </si>
  <si>
    <t>Florida Blanca</t>
  </si>
  <si>
    <t>Paseo del puente</t>
  </si>
  <si>
    <t>Piedecuesta</t>
  </si>
  <si>
    <t>Quinta Velez</t>
  </si>
  <si>
    <t>Duitama</t>
  </si>
  <si>
    <t>Santa Barbara</t>
  </si>
  <si>
    <t>Sogamoso</t>
  </si>
  <si>
    <t>Gereencia Acceso Fijo</t>
  </si>
  <si>
    <t>Autopista</t>
  </si>
  <si>
    <t>Tunja</t>
  </si>
  <si>
    <t>Potencia liberar</t>
  </si>
  <si>
    <t>Prority</t>
  </si>
  <si>
    <t>Comments</t>
  </si>
  <si>
    <t>DWDM Huawei</t>
  </si>
  <si>
    <t>Internet, datos, voz, B2B, TV</t>
  </si>
  <si>
    <t>Gerencia de Transporte</t>
  </si>
  <si>
    <t>Wilmar Moreno</t>
  </si>
  <si>
    <t>Costa</t>
  </si>
  <si>
    <t>No</t>
  </si>
  <si>
    <t>Tarjetas en OSN9800U32 existente</t>
  </si>
  <si>
    <t>Nor occidente</t>
  </si>
  <si>
    <t>Zona Sur MON004</t>
  </si>
  <si>
    <t>7 de agosto VAL005</t>
  </si>
  <si>
    <t>2+2</t>
  </si>
  <si>
    <t>0,3 x 0,6</t>
  </si>
  <si>
    <t>Tarjetas en OSN9800U32 existente
1 Rack y equipo OSN1800V nuevo</t>
  </si>
  <si>
    <t>Oriente</t>
  </si>
  <si>
    <t>Eje Cafetero</t>
  </si>
  <si>
    <t>Coliseo</t>
  </si>
  <si>
    <t>Tarjetas en OSN9800M24 existente</t>
  </si>
  <si>
    <t>Sur occidente</t>
  </si>
  <si>
    <t>1 rack y equipo OSN9800M24 nuevo</t>
  </si>
  <si>
    <t>Tarjetas en OSN1800VPro existente
1 equipo OSN1800II TP Nuevo</t>
  </si>
  <si>
    <t>El Burro CES0017</t>
  </si>
  <si>
    <t>El Burro</t>
  </si>
  <si>
    <t>Tarjetas en 1800V existente</t>
  </si>
  <si>
    <t>1 rack y equipo OSN1800V nuevo</t>
  </si>
  <si>
    <t>Host-EDATEL</t>
  </si>
  <si>
    <t xml:space="preserve">Tarjetas en OSN1800VPro existente
</t>
  </si>
  <si>
    <t>Corozal</t>
  </si>
  <si>
    <t>Magangué</t>
  </si>
  <si>
    <t>BOL0065</t>
  </si>
  <si>
    <t>Mompox</t>
  </si>
  <si>
    <t>MAG0102</t>
  </si>
  <si>
    <t>El Banco</t>
  </si>
  <si>
    <t>La Pintada</t>
  </si>
  <si>
    <t>Valparaiso</t>
  </si>
  <si>
    <t>Tamesis</t>
  </si>
  <si>
    <t>Jericó</t>
  </si>
  <si>
    <t>Andes</t>
  </si>
  <si>
    <t>Amaga</t>
  </si>
  <si>
    <t xml:space="preserve">Tarjetas en OSN1800VPro existente
Equipo 1800 nuevo
</t>
  </si>
  <si>
    <t>El Bagre</t>
  </si>
  <si>
    <t>Zaragoza</t>
  </si>
  <si>
    <t>Remedios</t>
  </si>
  <si>
    <t>Yali</t>
  </si>
  <si>
    <t>San Roque</t>
  </si>
  <si>
    <t>Santo Domingo</t>
  </si>
  <si>
    <t>Don Matias</t>
  </si>
  <si>
    <t>Tarjetas en OSN1800VPro existente
Equipo 1800 nuevo</t>
  </si>
  <si>
    <t>Codazzi</t>
  </si>
  <si>
    <t>CES0069</t>
  </si>
  <si>
    <t>La Jagua</t>
  </si>
  <si>
    <t>Cienaga de oro</t>
  </si>
  <si>
    <t>Sahagun</t>
  </si>
  <si>
    <t>Chinu</t>
  </si>
  <si>
    <t>Sampues</t>
  </si>
  <si>
    <t>DWDM Nokia</t>
  </si>
  <si>
    <t>Tarjetas en equipos PSS32/36/64 existentes</t>
  </si>
  <si>
    <t>Tolú POP</t>
  </si>
  <si>
    <t>Tolú</t>
  </si>
  <si>
    <t xml:space="preserve">Zona Sur </t>
  </si>
  <si>
    <t>Additional m2?
Yes/No</t>
  </si>
  <si>
    <t>If Yes:
# Racks?</t>
  </si>
  <si>
    <t>MPLS</t>
  </si>
  <si>
    <t xml:space="preserve">MPLS </t>
  </si>
  <si>
    <t>INCOME</t>
  </si>
  <si>
    <t>Cloud IP/MPLS</t>
  </si>
  <si>
    <t>José Alejandro Arcila</t>
  </si>
  <si>
    <t>no</t>
  </si>
  <si>
    <t>dc</t>
  </si>
  <si>
    <t>682 BTU/hour</t>
  </si>
  <si>
    <t>Tarjeta 2*100</t>
  </si>
  <si>
    <t>Tarjeta 24*10</t>
  </si>
  <si>
    <t>Centro ejecutivo</t>
  </si>
  <si>
    <t>Santa Martha</t>
  </si>
  <si>
    <t>Tarjeta 2*100G</t>
  </si>
  <si>
    <t>Buenos aires</t>
  </si>
  <si>
    <t>Vásquez Cobo</t>
  </si>
  <si>
    <t>Simón Bolívar</t>
  </si>
  <si>
    <t>Gama</t>
  </si>
  <si>
    <t>si</t>
  </si>
  <si>
    <t>992 BTU/hour</t>
  </si>
  <si>
    <t>Swiche DAAS</t>
  </si>
  <si>
    <t>Estrella</t>
  </si>
  <si>
    <t>San Cristóbal</t>
  </si>
  <si>
    <t>Villa hermosa</t>
  </si>
  <si>
    <t>La ceja</t>
  </si>
  <si>
    <t>Nodo Nuevo</t>
  </si>
  <si>
    <t>Santa Marha</t>
  </si>
  <si>
    <t>La Paz</t>
  </si>
  <si>
    <t xml:space="preserve">Quinta Vélez </t>
  </si>
  <si>
    <t>Tarjeta 12*10G</t>
  </si>
  <si>
    <t>Santa Helena</t>
  </si>
  <si>
    <t>La Fe</t>
  </si>
  <si>
    <t>Santa marta</t>
  </si>
  <si>
    <t>Itagüí</t>
  </si>
  <si>
    <t>Carrera</t>
  </si>
  <si>
    <t>yes</t>
  </si>
  <si>
    <t>13290 BTU/hour</t>
  </si>
  <si>
    <t>Router 7750</t>
  </si>
  <si>
    <t>Dismount</t>
  </si>
  <si>
    <t>7000 BTU/hour</t>
  </si>
  <si>
    <t>DEsmonte Sw9303</t>
  </si>
  <si>
    <t>BCC</t>
  </si>
  <si>
    <t>Dorado</t>
  </si>
  <si>
    <t>Atlas</t>
  </si>
  <si>
    <t>DEsmonte Ne40E obsoleto</t>
  </si>
  <si>
    <t>Castellana</t>
  </si>
  <si>
    <t>Guane</t>
  </si>
  <si>
    <t>La estrada</t>
  </si>
  <si>
    <t>La fragua</t>
  </si>
  <si>
    <t>Fontanar</t>
  </si>
  <si>
    <t>WTC (World Trade Center)</t>
  </si>
  <si>
    <t>José María Córdova</t>
  </si>
  <si>
    <t>Iguaná</t>
  </si>
  <si>
    <t>Peñasco</t>
  </si>
  <si>
    <t>1200 BTU/hour</t>
  </si>
  <si>
    <t>Tarjeta de 6*100G</t>
  </si>
  <si>
    <t>Mirafloes</t>
  </si>
  <si>
    <t>882 BTU/hour</t>
  </si>
  <si>
    <t>Tarjetas 100 G</t>
  </si>
  <si>
    <t>Puerto berrío</t>
  </si>
  <si>
    <t>Router smalla</t>
  </si>
  <si>
    <t>DEsmonte Ne40 X1</t>
  </si>
  <si>
    <t>Santafé de antioquia</t>
  </si>
  <si>
    <t>DEsmonte Ne40 X3</t>
  </si>
  <si>
    <t>Anillo vial</t>
  </si>
  <si>
    <t>24*10G</t>
  </si>
  <si>
    <t>Girón</t>
  </si>
  <si>
    <t>tarjetas 48*1</t>
  </si>
  <si>
    <t>Fusa</t>
  </si>
  <si>
    <t>Santa bibiana</t>
  </si>
  <si>
    <t>24*10G
Para 1G se esta montando e SW 12700</t>
  </si>
  <si>
    <t>Se crece en el X16A para 10 G
Tarjeta de 48*1G</t>
  </si>
  <si>
    <t>La Flor</t>
  </si>
  <si>
    <t>24*10G + tarjeta 48*1G</t>
  </si>
  <si>
    <t>12*10G + 10*1G</t>
  </si>
  <si>
    <t>Edatel Medellín</t>
  </si>
  <si>
    <t>Monte líbano</t>
  </si>
  <si>
    <t>10*1G</t>
  </si>
  <si>
    <t>Montería Edatel</t>
  </si>
  <si>
    <t>Sahagún</t>
  </si>
  <si>
    <t>12*10G</t>
  </si>
  <si>
    <t>Yarumal</t>
  </si>
  <si>
    <t xml:space="preserve">2 tarjetas 48*1 </t>
  </si>
  <si>
    <t>Tarjeta 48*1G</t>
  </si>
  <si>
    <t xml:space="preserve">tarjetas 48*1 </t>
  </si>
  <si>
    <t>Fredonia</t>
  </si>
  <si>
    <t>1 tarjetas 48*1 - Sw 12700</t>
  </si>
  <si>
    <t>1 tarjetas 48*1</t>
  </si>
  <si>
    <t>2 tarjetas 48*1G</t>
  </si>
  <si>
    <t>Pintada</t>
  </si>
  <si>
    <t>2 tarjetas 48*1 - Sw 12700</t>
  </si>
  <si>
    <t>2 tarjetas 48*1</t>
  </si>
  <si>
    <t>Valdivia móvill</t>
  </si>
  <si>
    <t xml:space="preserve">Valdivia </t>
  </si>
  <si>
    <t>Yarumal Móvil</t>
  </si>
  <si>
    <t xml:space="preserve">Yarumal </t>
  </si>
  <si>
    <t>Montería Móvil</t>
  </si>
  <si>
    <t xml:space="preserve">Montería </t>
  </si>
  <si>
    <t>Tablazo</t>
  </si>
  <si>
    <t>Cuestesitas</t>
  </si>
  <si>
    <t>Riohacha</t>
  </si>
  <si>
    <t>48*1G</t>
  </si>
  <si>
    <t>2*Tarjeta de 10*10G</t>
  </si>
  <si>
    <t>1 satélite</t>
  </si>
  <si>
    <t>Cucuta</t>
  </si>
  <si>
    <t>2 satélite</t>
  </si>
  <si>
    <t>Sincelejo Edatel</t>
  </si>
  <si>
    <t>1*Tarjeta de 10*10G</t>
  </si>
  <si>
    <t>2*Tarjeta de 10*10G
2 satélites</t>
  </si>
  <si>
    <t>Guarne</t>
  </si>
  <si>
    <t>Marinilla</t>
  </si>
  <si>
    <t>IAP</t>
  </si>
  <si>
    <t>Gerencia Cloud, IP y DC</t>
  </si>
  <si>
    <t>Sandra Prieto</t>
  </si>
  <si>
    <t>1 rack y equipo MX10k8 nuevo (PDU en rack 26kw)</t>
  </si>
  <si>
    <t>Tarjetas en router MX960/10k8 existente</t>
  </si>
  <si>
    <t>Alamos</t>
  </si>
  <si>
    <t>Internet</t>
  </si>
  <si>
    <t>Cloud IP Data Center</t>
  </si>
  <si>
    <t xml:space="preserve">Alex Orrego </t>
  </si>
  <si>
    <t>CDNs</t>
  </si>
  <si>
    <t>Host</t>
  </si>
  <si>
    <t>Vasquez cobo</t>
  </si>
  <si>
    <t>Rectificador</t>
  </si>
  <si>
    <t>Baterías</t>
  </si>
  <si>
    <t>Equipment</t>
  </si>
  <si>
    <t>Entidad:
UNE/TIGO/EDATEL</t>
  </si>
  <si>
    <t>Tipo de racks</t>
  </si>
  <si>
    <t>Es ampliación de tarjeta en equipo existente?</t>
  </si>
  <si>
    <t>Sitio y equipo con el que se libero la potencia</t>
  </si>
  <si>
    <t>Sumatoria
W por sitio</t>
  </si>
  <si>
    <t>% potencia / gerencia</t>
  </si>
  <si>
    <t>Inversion por gerencia / sitio</t>
  </si>
  <si>
    <t>OBSERVACIÓN GERENCIA INFRAESTRUCTURA</t>
  </si>
  <si>
    <t>Tipo de NODO</t>
  </si>
  <si>
    <t>PRE-Factibilidad Infraestructura 
(Si / No)</t>
  </si>
  <si>
    <t>Obra eléctrica AC</t>
  </si>
  <si>
    <t>Requiere obra eléctrica AC</t>
  </si>
  <si>
    <t>Valor Obra eléctrica AC</t>
  </si>
  <si>
    <t>Obra eléctrica DC</t>
  </si>
  <si>
    <t>Requiere Tablero PDB</t>
  </si>
  <si>
    <t>Valor PDB</t>
  </si>
  <si>
    <t>Requiere Energización</t>
  </si>
  <si>
    <t>Valor Energización</t>
  </si>
  <si>
    <t>Obra civil</t>
  </si>
  <si>
    <t>Requiere obra civil</t>
  </si>
  <si>
    <t>Valor Obra civil</t>
  </si>
  <si>
    <t>Rect Cantidad</t>
  </si>
  <si>
    <t>Capacidad [Amperios]</t>
  </si>
  <si>
    <t>Valor Rectificador</t>
  </si>
  <si>
    <t>Bat Cantidad</t>
  </si>
  <si>
    <t>Capacidad 
[Ah]</t>
  </si>
  <si>
    <t>Valor Baterías</t>
  </si>
  <si>
    <t>MG Cantidad</t>
  </si>
  <si>
    <t>Capacidad 
[kVA]</t>
  </si>
  <si>
    <t>Valor MG</t>
  </si>
  <si>
    <t>AA Cantidad</t>
  </si>
  <si>
    <t>Capacidad 
[TR]</t>
  </si>
  <si>
    <t>Valor equipos AA</t>
  </si>
  <si>
    <t>Requiere rediseño de ductos</t>
  </si>
  <si>
    <t>Valor rediseño ductos</t>
  </si>
  <si>
    <t>Presupuesto Estimado</t>
  </si>
  <si>
    <t>SI</t>
  </si>
  <si>
    <t>NO</t>
  </si>
  <si>
    <t>Jamundi</t>
  </si>
  <si>
    <t>UNE</t>
  </si>
  <si>
    <t>TIGO</t>
  </si>
  <si>
    <t>Si</t>
  </si>
  <si>
    <t>Tigo</t>
  </si>
  <si>
    <t>centro</t>
  </si>
  <si>
    <t>N/A</t>
  </si>
  <si>
    <t>Sur</t>
  </si>
  <si>
    <t>Eje cafetero</t>
  </si>
  <si>
    <t>WTC</t>
  </si>
  <si>
    <t>TRM</t>
  </si>
  <si>
    <t>Descripción</t>
  </si>
  <si>
    <t>Capacidad</t>
  </si>
  <si>
    <t>Cantidad</t>
  </si>
  <si>
    <t>Valor Suministro</t>
  </si>
  <si>
    <t>Valor Inst</t>
  </si>
  <si>
    <t>Valor acometidas</t>
  </si>
  <si>
    <t>Valor Total</t>
  </si>
  <si>
    <t>Motogenerador</t>
  </si>
  <si>
    <t xml:space="preserve">Equipos de AA </t>
  </si>
  <si>
    <t>Rediseño ductos de AA</t>
  </si>
  <si>
    <t>Tablero PDB</t>
  </si>
  <si>
    <t>Energización equipos</t>
  </si>
  <si>
    <t>Obra electrica complementaria</t>
  </si>
  <si>
    <t>TOTAL</t>
  </si>
  <si>
    <t>Sumatoria
W</t>
  </si>
  <si>
    <t>%Potencia</t>
  </si>
  <si>
    <t>Valor por porcentaje de potencia</t>
  </si>
  <si>
    <t>tipo de NODO</t>
  </si>
  <si>
    <t>El sitio no cuenta con espacio, ni AA ni rectificador para soportar la carga, debe construirse un sitio nuevo ya que el actual no tiene forma de expandirse. Se revisó sitios propios en Jamundí para revisar posibilidad de instalar OLT intemperie y el sitio que más se ajusta a las necesiddes de la zona requiere adecuaciones por aproximadamente 45 millones para volverlo confiable para la instalación de una OLT intemperie.</t>
  </si>
  <si>
    <t>OLT nueva</t>
  </si>
  <si>
    <t>Sitio por conseguir</t>
  </si>
  <si>
    <t>Sitio sin espacio, requiere obra civil. (35 millones aprox). Se debe negociar con la estación de Policia.</t>
  </si>
  <si>
    <t>Urbano</t>
  </si>
  <si>
    <t>Se buscará mejor sitio por seguridad, sitios movil han sido vandalizados</t>
  </si>
  <si>
    <t>No se tiene esapcio ni capacidad en rectificadores y AA</t>
  </si>
  <si>
    <t>Por conseguir el sitio</t>
  </si>
  <si>
    <t>No se tiene capacidad AC. Se debe realizar proyecto de aumento de capacidad con CODENSA</t>
  </si>
  <si>
    <t>Este nodo está en proceso de desmonte</t>
  </si>
  <si>
    <t>Sitio sobrecargado energía y refrigeración</t>
  </si>
  <si>
    <t xml:space="preserve"> </t>
  </si>
  <si>
    <t>Sitio sin espacio. No hay forma de ampliación.</t>
  </si>
  <si>
    <t>No se tiene un nodo con el nombre Quinta Camacho en el gobierno de Facilities para Cucuta</t>
  </si>
  <si>
    <t xml:space="preserve">El nodo se migrará al sitios GALAN. Se debe solicitar el despliegue en este nuevo sitio. </t>
  </si>
  <si>
    <t>N5</t>
  </si>
  <si>
    <t xml:space="preserve">No se cuenta con espacio disponibile para instalación de Rack, se debe validar en sitio si hay unidades de rack disponible para reutilizar. No se tiene disponibilidad en DC. Sitio Cerrado </t>
  </si>
  <si>
    <t>No se tiene espacio en Piso ni disponible para crecer. Esto se había dialogado en su momento cuando se instaló la OLT</t>
  </si>
  <si>
    <t>Sitio Internexa, no hay datos Facilities</t>
  </si>
  <si>
    <t>Sitio nuevo</t>
  </si>
  <si>
    <t>sitio nuevo</t>
  </si>
  <si>
    <t>PDB</t>
  </si>
  <si>
    <t>Centro EDATEL Puerto Berrio</t>
  </si>
  <si>
    <t>Puerto Berrío</t>
  </si>
  <si>
    <t>NOROCCIDENTE</t>
  </si>
  <si>
    <t>0</t>
  </si>
  <si>
    <t>Requiere BB2000AH y PDB, tiene MG</t>
  </si>
  <si>
    <t>SI CONDICIONADA</t>
  </si>
  <si>
    <t/>
  </si>
  <si>
    <t>Centro EDATEL Segovia</t>
  </si>
  <si>
    <t>Este 2022 se va a instalar un rect 300 A nuevo (Rolluot). Requiere nuevo BB 1000AH, tiene MG</t>
  </si>
  <si>
    <t>Centro EDATEL Chigorodó</t>
  </si>
  <si>
    <t>Posee doble rectf, requiere BB1000AH.</t>
  </si>
  <si>
    <t>Es un sitio de bajo crecimiento, se requiere acondionar un nuevo espacio o verificar si hay equipos o racks que se puedan desmontar. Rectificador como respaldo del Shindengen.</t>
  </si>
  <si>
    <t>Acondicionar nuevo espacio</t>
  </si>
  <si>
    <t>Adecuar nuevo espacio</t>
  </si>
  <si>
    <t>Modificar ductería de AA</t>
  </si>
  <si>
    <t>Factibilidad condicionada por posible desmonte del nodo debido a la baja carga y servicios que tiene. Se requiere rectificador de respaldo al Shibdenguen, condicionado a utilizar racks vacios existentes o retirarlos para ingresar nuevos.</t>
  </si>
  <si>
    <t>Sitio sin espacio, requiere obra civil. (25millones aprox)</t>
  </si>
  <si>
    <t>Se aprueba el requerimiento</t>
  </si>
  <si>
    <t>N4</t>
  </si>
  <si>
    <t>Centro Edatel Apartadó</t>
  </si>
  <si>
    <t>Posee doble rectif y BB, tiene MG, Requiere PDB y nuevo sistema de Aire Acondicionado (AA de 15TR o 20TR pendiente estudio)</t>
  </si>
  <si>
    <t>Posee doble rectf, requiere BB1000AH y PDB.</t>
  </si>
  <si>
    <t>Centro Edatel Turbo</t>
  </si>
  <si>
    <t>Requiere nuevo rectificador de 500Amperios y PDB, tiene MG.</t>
  </si>
  <si>
    <t>Solo se puede instalar en antiguo salon Fetex</t>
  </si>
  <si>
    <t>Diseño de ductos para nueva zona</t>
  </si>
  <si>
    <t>Incluir cableado, protecciones, tendidos, canaletas, tuberías, etc. Aire In Row</t>
  </si>
  <si>
    <t>Incluir cableado, protecciones, tendidos, canaletas, tuberías, etc. Aire ACONDICIONADO</t>
  </si>
  <si>
    <t>IDEO</t>
  </si>
  <si>
    <t>Sitio cuenta con espacio, capacidad en rectificadores y AA para soportar la nueva carga, indican que van a instalar 10 equipos y solo piden 6 fuentes, para estas habría caapcidad de protecciones en los PDB pero deberían ser 20 las posiciones a utilizar por lo que se da viabilidad positiva pero se solicita PDB  nuevo</t>
  </si>
  <si>
    <t>Instalación nuevo PDB, requiere aproximadamente 40m de cable 4/0 AWG, para equipos 300m de cable 3x14 AWG y 20 protecciones para PDB de 10A</t>
  </si>
  <si>
    <t>escalerilla para nuevo PDB, aproxiamdamente 3m</t>
  </si>
  <si>
    <t>Se puede desmontar el equipo</t>
  </si>
  <si>
    <t>Se cuenta con disponibilidad.</t>
  </si>
  <si>
    <t>No se cuenta con disponibilidad DC</t>
  </si>
  <si>
    <t>Se aprueba la instalación</t>
  </si>
  <si>
    <t>Seguridad para gabinetes por vandalismo constante</t>
  </si>
  <si>
    <t xml:space="preserve">Se debe realizar cambio de rectificador para garantizar capacidad. </t>
  </si>
  <si>
    <t>SI, CONDICIONADA</t>
  </si>
  <si>
    <t>Se cuenta con salidad DC para los nuevos equipos. Sistema AC, DC, AA y Generación soportan el aumento de carga. Se requiere cambio de AA de otros operadores y cuartos de baterías por obsolescencia y vida útil</t>
  </si>
  <si>
    <t>N3</t>
  </si>
  <si>
    <t>Se cuenta con salidad DC para los nuevos equipos. Sistema AC, DC, AA y Generación soportan el aumento de carga. Se requeire instalar PDB para futuras cargas.</t>
  </si>
  <si>
    <t>Instalación de PDB</t>
  </si>
  <si>
    <t xml:space="preserve">Para la Instalación de un PDB incluyendo OBC, Eléctricas se tienen un valor promedio de 13.000.000 millones </t>
  </si>
  <si>
    <t>Se cuenta con salidad DC para los nuevos equipos. Sistema AC, DC, AA y Generación soportan el aumento de carga.</t>
  </si>
  <si>
    <t>Se cuenta con capacidad en los sitemas AC, DC, AA y Generación</t>
  </si>
  <si>
    <t>Posee doble rectif y BB, tiene MG, no requiere inversión 2023 para asumir esta carga pero está pendiente la modernización del AA del cuarto de equipos (AA de 15TR o 20TR pendiente estudio)</t>
  </si>
  <si>
    <t>Posee doble rectif y BB, tiene MG, no requiere inversión 2023 para asumir esta carga</t>
  </si>
  <si>
    <t>Incluir, cableado, protecciones, tendidos, canaletas, tuberías</t>
  </si>
  <si>
    <t>Se niega por proeso de desmonte de sitio</t>
  </si>
  <si>
    <t>Se tiene capacidad para instalación.</t>
  </si>
  <si>
    <t>Centro Edatel Caucasia</t>
  </si>
  <si>
    <t>Espacio disponible en Multinet, se requiere adecuar los ductos de AA, se requiere un PDB.</t>
  </si>
  <si>
    <t>Espacio disponible al lado de los CMTS</t>
  </si>
  <si>
    <t>Esto aplica para otras factibilidades</t>
  </si>
  <si>
    <t>Existe un rack vacio de un NE40, se debe retirar.</t>
  </si>
  <si>
    <t>Condicionado al desmonte de la central Fetex que ya fue apagada.</t>
  </si>
  <si>
    <t>Sala Multinet</t>
  </si>
  <si>
    <t>Factibilidad positiva desde infraestructura, la respuesta final la entrega ingeniería</t>
  </si>
  <si>
    <t>Ampliación de ductos para nueva zona de ampliación.</t>
  </si>
  <si>
    <t>Se requiere instalar PDB</t>
  </si>
  <si>
    <t>En el cuarto de Multinet, no hay espacio fisico, se requiere crear un nuevo cuarto, se puede utilizar el anterior NEC, en este caso se deben intervenir los ductos de AA y tirar canastillas portacables para fibras y acometidas electricas.</t>
  </si>
  <si>
    <t>Centro Medellín</t>
  </si>
  <si>
    <t>Requiere PDB</t>
  </si>
  <si>
    <t>En sala Multinet primer piso condicionado al montaje de AA 2022 proyecto Carlos. En sala del segundo piso se desmontaron los equipos y este cuarto queda cerrado</t>
  </si>
  <si>
    <t>Condicionado, requiere montar PBD</t>
  </si>
  <si>
    <t>Se requiene instalar PDB</t>
  </si>
  <si>
    <t>Espacio dsiponible en multinet primer piso, condicionado al desmonte de la central NEC que se apago en el proyecto de desmonte de centrales. Se requiere acondicionar ductería AA. Se requiere montar PBD</t>
  </si>
  <si>
    <t>Requiere PBD</t>
  </si>
  <si>
    <t>Confinar area para AA</t>
  </si>
  <si>
    <t>Se condiciona a la posibilidad de acdecuar un nuevo espacio, en las actuales salas no hay capacidad fisica para nuevos racks, como opción verificar si hay racks que ya no esten en servicio. Solo tiene rectificadores Shindenguen y Ericsson, cambio por obsolescencia.</t>
  </si>
  <si>
    <t>Iluminación</t>
  </si>
  <si>
    <t>Incluir cableado, protecciones, tendidos, canaletas, tuberías, etc</t>
  </si>
  <si>
    <t>Simon Bolivar Bquilla</t>
  </si>
  <si>
    <t>Centro Edatel Montería</t>
  </si>
  <si>
    <t>PBD</t>
  </si>
  <si>
    <t>Centro Edatel Sincelejo</t>
  </si>
  <si>
    <t>Centro Edatel Valledupar</t>
  </si>
  <si>
    <t>Deben incluir el rack</t>
  </si>
  <si>
    <t>Centro manizales</t>
  </si>
  <si>
    <t>Centro Pereira</t>
  </si>
  <si>
    <t>Se debe re utilizar espacios existetnes en los racks del sitio</t>
  </si>
  <si>
    <t>Existe espacio para los nuevos racks, capacidad en AA, capacidad en rectificadores. Se recomendará usar rack existente donde se des instaló la misma plataforma en 2021, Aunque hay capacidad física para las solicitudes del año se copa el sitio al 95%, se debe proyectar ampliación del sitio</t>
  </si>
  <si>
    <t>Se tiene disponibilidad de espacio, AA y rectificadores para soportar la nueva carga</t>
  </si>
  <si>
    <t>Acometidas para equipos: 150 metros cable #6AWG para OLT,  320 metros cable 3x14 AWG para plataforma óptica, 150m cable 1/0 AWG para equipos IAP, 150 m cable 6 AWG para equipos DWDM.</t>
  </si>
  <si>
    <t>No se tiene espacio en sito para la instalación de rack nuevo, debe hacerse TSS para desmonte de equipos no usados o verificar espacios existentes en los racks del sitio.</t>
  </si>
  <si>
    <t>SI, condicionado</t>
  </si>
  <si>
    <t>Se tiene capacidad en rectificadores, AA y espacio físico, no se requieren obras civiles para la instalación.</t>
  </si>
  <si>
    <t>Se requieren aproximadamente 252m de cable 3x14 AWG y 12 breakers de 10A para PDB</t>
  </si>
  <si>
    <t xml:space="preserve">El sitio cuenta con capacidad en DC, AA y espacio para el nuevo rack, no requiere obras civiles </t>
  </si>
  <si>
    <t>Se requieren aproximadamente 310m de cable 3x14 AWG y 12 breakers 10 A para PDB</t>
  </si>
  <si>
    <t>El sitio cuenta con espacio, capacidad de rectificadores y AA para soportar la carga</t>
  </si>
  <si>
    <t>Se requiere cableado 3X14 AWG aproximadamente 170m y 6 breakers 10A para PDB</t>
  </si>
  <si>
    <t>Se tiene capacidad en AA, rectificadores, se debe validarprotecciónes y cableado de equipo antes de insertar tarjetas.</t>
  </si>
  <si>
    <t>Solo hay un rectificador</t>
  </si>
  <si>
    <t>Centro Manizales</t>
  </si>
  <si>
    <t>Santa Elena</t>
  </si>
  <si>
    <t>Hermeticidad de cuarto</t>
  </si>
  <si>
    <t>Se aprueba requerimiento. En espera de apagado de equipos para liberar potencia DC</t>
  </si>
  <si>
    <t>N1</t>
  </si>
  <si>
    <t>Se aprueba la capacidad</t>
  </si>
  <si>
    <t>Se aprueban el requerimiento</t>
  </si>
  <si>
    <t>Centro Bogotá</t>
  </si>
  <si>
    <t>Se puede instalar tarjeta</t>
  </si>
  <si>
    <t>Se aprueba requerimiento</t>
  </si>
  <si>
    <t>N2</t>
  </si>
  <si>
    <t>Se aprueba el requerimienro</t>
  </si>
  <si>
    <t>America</t>
  </si>
  <si>
    <t xml:space="preserve">Buenos aires </t>
  </si>
  <si>
    <t>Cámara de comercio</t>
  </si>
  <si>
    <t>José maría córdoba</t>
  </si>
  <si>
    <t>Por Deninir</t>
  </si>
  <si>
    <t>Prados del norte</t>
  </si>
  <si>
    <t>Titanium</t>
  </si>
  <si>
    <t>INFORMACIÓN IMPORTANTE</t>
  </si>
  <si>
    <t>Para insertar la Tabla dinámica seleccionada, hemos tenido que organizar los datos en columnas con una sola fila de encabezado.</t>
  </si>
  <si>
    <t>Voltage
(AC or DC)2</t>
  </si>
  <si>
    <t>Reponer 2 OLT MA5603T que se retiran definitivamente</t>
  </si>
  <si>
    <t>Reponer 1 OLT MA5603T que se retira definitivamente</t>
  </si>
  <si>
    <t>No se cuenta con Potencia DC, ni climatización</t>
  </si>
  <si>
    <t>NO, CONDICIONAL</t>
  </si>
  <si>
    <t>Trasladar la OLT MA5600 de SBI. En SBI no se deben montar nuevos equipos</t>
  </si>
  <si>
    <t>No se cuenta con Potencia DC disponible, debido a asignación a vEPV y DWDM.</t>
  </si>
  <si>
    <t>Viabilidad positiva, no requiere obras eléctricas o civiles.</t>
  </si>
  <si>
    <t>Noroccidente</t>
  </si>
  <si>
    <t>Trasladar la OLT MA5600 de Niquía</t>
  </si>
  <si>
    <t>El proyecto inicial es trasladar las cargas actuales en central Niquia a Bello, la adecuación civil y de facilities deberia ser asuminda por el proyecto, se dejan los requerimientos planteados para el traslado. Actualmente estan desmontando equipos lo que en su momento se pueden utilizar estos espacios y no se requieran las obras civiles y reorganización de ducteria de AA.</t>
  </si>
  <si>
    <t>Por Definir</t>
  </si>
  <si>
    <t>Comodín</t>
  </si>
  <si>
    <t>Tarjetas en PSS32 existente</t>
  </si>
  <si>
    <t>Ok</t>
  </si>
  <si>
    <t>Gerencia cloud IP/Datacenter</t>
  </si>
  <si>
    <t xml:space="preserve">1 (una) Tarjeta de 10Gbps </t>
  </si>
  <si>
    <t xml:space="preserve">Viabilidad positiva, no requiere obras eléctricas o civiles. </t>
  </si>
  <si>
    <t>Aprobado instalación de tarjeta</t>
  </si>
  <si>
    <t>Norte</t>
  </si>
  <si>
    <t>No se cuenta con potencia AC. Se debe realizar liberación de cargas para poder realizar la instalación de la tarjeta. Se debe validar con las áreas para ver que equipos se pueden apagar y liberar esos 400W</t>
  </si>
  <si>
    <t>Condicional</t>
  </si>
  <si>
    <t>4 tarjetas para swiche 12700 Huawei</t>
  </si>
  <si>
    <t>1 (uno) enrutador Ne40x16a Huawei</t>
  </si>
  <si>
    <t>2 (dos) enrutador Ne40x16a Huawei</t>
  </si>
  <si>
    <t>No se cuenta con Potencia DC. Por certificación no se puede ampliar el DC en el datacenter</t>
  </si>
  <si>
    <t>Sonda de Monitoreo Onetv2.0</t>
  </si>
  <si>
    <t>OneTv2.0</t>
  </si>
  <si>
    <t>Gerencia Core&amp;VAS</t>
  </si>
  <si>
    <t>Carmen Elena Espinosa</t>
  </si>
  <si>
    <t>Monitoreo PostEncoding</t>
  </si>
  <si>
    <t>Desde facilities de infrarestructura se da el aval, en el tema de racks indican que no se requiere, para esto se necesita que de otros racks liberen posiciones</t>
  </si>
  <si>
    <t>SI CONDICIONADO</t>
  </si>
  <si>
    <t>Monitoreo OTT Origin</t>
  </si>
  <si>
    <t>Monitoreo OTT Edge</t>
  </si>
  <si>
    <t xml:space="preserve">CAS CISCO </t>
  </si>
  <si>
    <t>Tv Digital HFC</t>
  </si>
  <si>
    <t>Mauricio Roldan</t>
  </si>
  <si>
    <t>AC</t>
  </si>
  <si>
    <t>Servidor CAS Cisco</t>
  </si>
  <si>
    <t>IMS</t>
  </si>
  <si>
    <t>VoLTE / VoBB / TroncalSIP</t>
  </si>
  <si>
    <t>Camilo Jose Rincón Figueredo</t>
  </si>
  <si>
    <t>Tercer nodo de IMS a integrar en la infraestructura virtualizada de Huawei en Barranquilla</t>
  </si>
  <si>
    <t>OK</t>
  </si>
  <si>
    <t>Redundancia Tercer nodo de IMS a integrar en la infraestructura virtualizada de Huawei en Medellin San Bernardo</t>
  </si>
  <si>
    <t>VoLTE</t>
  </si>
  <si>
    <t>Ampliación de un server en IMS actual</t>
  </si>
  <si>
    <t>vEPCMED</t>
  </si>
  <si>
    <t>Datos móviles</t>
  </si>
  <si>
    <t>Victor Pinto</t>
  </si>
  <si>
    <t>Expansión vEPCMED 2024</t>
  </si>
  <si>
    <t>vEPCBAQ</t>
  </si>
  <si>
    <t>Expansión vEPCBAQ 2024</t>
  </si>
  <si>
    <t>vEPCBOG</t>
  </si>
  <si>
    <t>Expansión vEPCBOG 2024</t>
  </si>
  <si>
    <t>vEPCSIB</t>
  </si>
  <si>
    <t>Expansión vEPSIB 2024</t>
  </si>
  <si>
    <t>SGSNBOG</t>
  </si>
  <si>
    <t>SGSNMED</t>
  </si>
  <si>
    <t>EPCMED ATCA</t>
  </si>
  <si>
    <t>EPCBOG ATCA</t>
  </si>
  <si>
    <t>EPCSIB ATCA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</si>
</sst>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 #,##0.00_-;\-&quot;$&quot;\ * #,##0.00_-;_-&quot;$&quot;\ * &quot;-&quot;??_-;_-@_-"/>
    <numFmt numFmtId="164" formatCode="_-&quot;$&quot;\ * #,##0_-;\-&quot;$&quot;\ * #,##0_-;_-&quot;$&quot;\ * &quot;-&quot;??_-;_-@_-"/>
    <numFmt numFmtId="165" formatCode="0.0%"/>
    <numFmt numFmtId="166" formatCode="[$$-240A]\ #,##0.00"/>
    <numFmt numFmtId="167" formatCode="_-[$$-240A]\ * #,##0.00_-;\-[$$-240A]\ * #,##0.00_-;_-[$$-240A]\ * &quot;-&quot;??_-;_-@_-"/>
    <numFmt numFmtId="168" formatCode="_-[$$-409]* #,##0.00_ ;_-[$$-409]* \-#,##0.00\ ;_-[$$-409]* &quot;-&quot;??_ ;_-@_ "/>
  </numFmts>
  <fonts count="24" x14ac:knownFonts="1">
    <font>
      <sz val="11"/>
      <color theme="1"/>
      <name val="Calibri"/>
      <family val="2"/>
      <scheme val="minor"/>
    </font>
    <font>
      <b/>
      <sz val="9"/>
      <color indexed="81"/>
      <name val="Tahoma"/>
      <family val="2"/>
    </font>
    <font>
      <sz val="9"/>
      <color indexed="81"/>
      <name val="Tahoma"/>
      <family val="2"/>
    </font>
    <font>
      <sz val="10"/>
      <name val="Tahoma"/>
      <family val="2"/>
    </font>
    <font>
      <b/>
      <sz val="10"/>
      <color theme="1"/>
      <name val="Tahoma"/>
      <family val="2"/>
    </font>
    <font>
      <sz val="10"/>
      <color theme="1"/>
      <name val="Tahoma"/>
      <family val="2"/>
    </font>
    <font>
      <b/>
      <sz val="10"/>
      <color theme="0"/>
      <name val="Tahoma"/>
      <family val="2"/>
    </font>
    <font>
      <b/>
      <sz val="10"/>
      <color rgb="FF000000"/>
      <name val="Tahoma"/>
      <family val="2"/>
    </font>
    <font>
      <b/>
      <sz val="10"/>
      <color rgb="FFFFFFFF"/>
      <name val="Tahoma"/>
      <family val="2"/>
    </font>
    <font>
      <sz val="10"/>
      <name val="Arial"/>
      <family val="2"/>
    </font>
    <font>
      <sz val="11"/>
      <name val="Calibri"/>
      <family val="2"/>
    </font>
    <font>
      <sz val="8"/>
      <name val="Calibri"/>
      <family val="2"/>
    </font>
    <font>
      <sz val="10"/>
      <color rgb="FF000000"/>
      <name val="Tahoma"/>
      <family val="2"/>
    </font>
    <font>
      <sz val="11"/>
      <color rgb="FF000000"/>
      <name val="Calibri"/>
      <family val="2"/>
    </font>
    <font>
      <sz val="10"/>
      <color rgb="FFFF0000"/>
      <name val="Tahoma"/>
      <family val="2"/>
    </font>
    <font>
      <sz val="10"/>
      <color rgb="FFFF0000"/>
      <name val="Arial"/>
      <family val="2"/>
    </font>
    <font>
      <sz val="11"/>
      <color theme="1"/>
      <name val="Calibri"/>
      <family val="2"/>
      <scheme val="minor"/>
    </font>
    <font>
      <b/>
      <sz val="11"/>
      <color theme="1"/>
      <name val="Calibri"/>
      <family val="2"/>
      <scheme val="minor"/>
    </font>
    <font>
      <b/>
      <sz val="10"/>
      <name val="Tahoma"/>
      <family val="2"/>
    </font>
    <font>
      <sz val="10"/>
      <color rgb="FF0070C0"/>
      <name val="Tahoma"/>
      <family val="2"/>
    </font>
    <font>
      <sz val="10"/>
      <color rgb="FF4472C4"/>
      <name val="Tahoma"/>
      <family val="2"/>
    </font>
    <font>
      <sz val="11"/>
      <color rgb="FF444444"/>
      <name val="Calibri"/>
      <family val="2"/>
      <charset val="1"/>
    </font>
    <font>
      <sz val="11"/>
      <color rgb="FF4472C4"/>
      <name val="Calibri"/>
      <family val="2"/>
      <scheme val="minor"/>
    </font>
    <font>
      <sz val="11"/>
      <color rgb="FF333333"/>
      <name val="Calibri"/>
      <family val="2"/>
      <scheme val="minor"/>
    </font>
  </fonts>
  <fills count="23">
    <fill>
      <patternFill patternType="none"/>
    </fill>
    <fill>
      <patternFill patternType="gray125"/>
    </fill>
    <fill>
      <patternFill patternType="solid">
        <fgColor rgb="FF0070C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4" tint="0.39997558519241921"/>
        <bgColor rgb="FF000000"/>
      </patternFill>
    </fill>
    <fill>
      <patternFill patternType="solid">
        <fgColor theme="5" tint="0.39997558519241921"/>
        <bgColor indexed="64"/>
      </patternFill>
    </fill>
    <fill>
      <patternFill patternType="solid">
        <fgColor rgb="FFFFFFCC"/>
        <bgColor indexed="64"/>
      </patternFill>
    </fill>
    <fill>
      <patternFill patternType="solid">
        <fgColor rgb="FF0070C0"/>
        <bgColor rgb="FF000000"/>
      </patternFill>
    </fill>
    <fill>
      <patternFill patternType="solid">
        <fgColor rgb="FF00B0F0"/>
        <bgColor rgb="FF000000"/>
      </patternFill>
    </fill>
    <fill>
      <patternFill patternType="solid">
        <fgColor rgb="FFFFFFFF"/>
        <bgColor rgb="FF000000"/>
      </patternFill>
    </fill>
    <fill>
      <patternFill patternType="solid">
        <fgColor rgb="FFFFFF00"/>
        <bgColor rgb="FF000000"/>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5" tint="0.59999389629810485"/>
        <bgColor rgb="FF000000"/>
      </patternFill>
    </fill>
    <fill>
      <patternFill patternType="solid">
        <fgColor rgb="FFFF0000"/>
        <bgColor rgb="FF000000"/>
      </patternFill>
    </fill>
    <fill>
      <patternFill patternType="solid">
        <fgColor rgb="FFFFFFFF"/>
        <bgColor indexed="64"/>
      </patternFill>
    </fill>
    <fill>
      <patternFill patternType="solid">
        <fgColor rgb="FF7030A0"/>
        <bgColor indexed="64"/>
      </patternFill>
    </fill>
    <fill>
      <patternFill patternType="solid">
        <fgColor theme="9"/>
        <bgColor indexed="64"/>
      </patternFill>
    </fill>
    <fill>
      <patternFill patternType="solid">
        <fgColor theme="4"/>
        <bgColor indexed="64"/>
      </patternFill>
    </fill>
  </fills>
  <borders count="29">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rgb="FF000000"/>
      </left>
      <right style="thin">
        <color rgb="FF000000"/>
      </right>
      <top style="thin">
        <color rgb="FF000000"/>
      </top>
      <bottom/>
      <diagonal/>
    </border>
    <border>
      <left style="thin">
        <color auto="1"/>
      </left>
      <right/>
      <top style="hair">
        <color auto="1"/>
      </top>
      <bottom style="hair">
        <color auto="1"/>
      </bottom>
      <diagonal/>
    </border>
    <border>
      <left style="thin">
        <color indexed="64"/>
      </left>
      <right style="thin">
        <color indexed="64"/>
      </right>
      <top/>
      <bottom/>
      <diagonal/>
    </border>
    <border>
      <left style="thin">
        <color indexed="64"/>
      </left>
      <right style="thin">
        <color rgb="FF000000"/>
      </right>
      <top/>
      <bottom/>
      <diagonal/>
    </border>
    <border>
      <left style="thin">
        <color rgb="FF000000"/>
      </left>
      <right style="thin">
        <color rgb="FF000000"/>
      </right>
      <top/>
      <bottom/>
      <diagonal/>
    </border>
    <border>
      <left style="thin">
        <color indexed="64"/>
      </left>
      <right style="thin">
        <color indexed="64"/>
      </right>
      <top/>
      <bottom style="thin">
        <color auto="1"/>
      </bottom>
      <diagonal/>
    </border>
    <border>
      <left style="thin">
        <color indexed="64"/>
      </left>
      <right style="thin">
        <color indexed="64"/>
      </right>
      <top/>
      <bottom style="hair">
        <color auto="1"/>
      </bottom>
      <diagonal/>
    </border>
    <border>
      <left style="thin">
        <color indexed="64"/>
      </left>
      <right style="thin">
        <color rgb="FF000000"/>
      </right>
      <top/>
      <bottom style="hair">
        <color auto="1"/>
      </bottom>
      <diagonal/>
    </border>
    <border>
      <left style="thin">
        <color rgb="FF000000"/>
      </left>
      <right style="thin">
        <color rgb="FF000000"/>
      </right>
      <top/>
      <bottom style="thin">
        <color rgb="FF000000"/>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hair">
        <color indexed="64"/>
      </top>
      <bottom/>
      <diagonal/>
    </border>
    <border>
      <left/>
      <right/>
      <top style="hair">
        <color indexed="64"/>
      </top>
      <bottom style="hair">
        <color indexed="64"/>
      </bottom>
      <diagonal/>
    </border>
    <border>
      <left/>
      <right/>
      <top/>
      <bottom style="hair">
        <color indexed="64"/>
      </bottom>
      <diagonal/>
    </border>
    <border>
      <left style="thin">
        <color indexed="64"/>
      </left>
      <right/>
      <top/>
      <bottom style="hair">
        <color indexed="64"/>
      </bottom>
      <diagonal/>
    </border>
    <border>
      <left style="thin">
        <color indexed="64"/>
      </left>
      <right/>
      <top/>
      <bottom/>
      <diagonal/>
    </border>
    <border>
      <left/>
      <right/>
      <top style="hair">
        <color auto="1"/>
      </top>
      <bottom/>
      <diagonal/>
    </border>
    <border>
      <left style="thin">
        <color auto="1"/>
      </left>
      <right/>
      <top style="hair">
        <color auto="1"/>
      </top>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hair">
        <color auto="1"/>
      </bottom>
      <diagonal/>
    </border>
    <border>
      <left/>
      <right style="thin">
        <color indexed="64"/>
      </right>
      <top style="thin">
        <color indexed="64"/>
      </top>
      <bottom style="hair">
        <color indexed="64"/>
      </bottom>
      <diagonal/>
    </border>
  </borders>
  <cellStyleXfs count="3">
    <xf numFmtId="0" fontId="0" fillId="0" borderId="0"/>
    <xf numFmtId="44" fontId="16" fillId="0" borderId="0" applyFont="0" applyFill="0" applyBorder="0" applyAlignment="0" applyProtection="0"/>
    <xf numFmtId="9" fontId="16" fillId="0" borderId="0" applyFont="0" applyFill="0" applyBorder="0" applyAlignment="0" applyProtection="0"/>
  </cellStyleXfs>
  <cellXfs count="243">
    <xf numFmtId="0" fontId="0" fillId="0" borderId="0" xfId="0"/>
    <xf numFmtId="0" fontId="5" fillId="0" borderId="1" xfId="0" applyFont="1" applyBorder="1" applyAlignment="1">
      <alignment horizontal="center" vertical="center"/>
    </xf>
    <xf numFmtId="0" fontId="3" fillId="0" borderId="1" xfId="0" applyFont="1" applyBorder="1" applyAlignment="1">
      <alignment vertical="center"/>
    </xf>
    <xf numFmtId="0" fontId="5" fillId="0" borderId="0" xfId="0" applyFont="1" applyAlignment="1">
      <alignment vertical="center"/>
    </xf>
    <xf numFmtId="0" fontId="5" fillId="0" borderId="1" xfId="0" applyFont="1" applyBorder="1" applyAlignment="1">
      <alignment vertical="center"/>
    </xf>
    <xf numFmtId="0" fontId="5" fillId="0" borderId="0" xfId="0" applyFont="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0" fontId="5" fillId="0" borderId="1" xfId="0" applyFont="1" applyBorder="1" applyAlignment="1">
      <alignment horizontal="left" vertical="center"/>
    </xf>
    <xf numFmtId="2" fontId="5" fillId="0" borderId="1" xfId="0" applyNumberFormat="1" applyFont="1" applyBorder="1" applyAlignment="1">
      <alignment vertical="center"/>
    </xf>
    <xf numFmtId="17" fontId="5" fillId="0" borderId="1" xfId="0" applyNumberFormat="1" applyFont="1" applyBorder="1" applyAlignment="1">
      <alignment horizontal="center" vertical="center"/>
    </xf>
    <xf numFmtId="17" fontId="3" fillId="0" borderId="1" xfId="0" applyNumberFormat="1" applyFont="1" applyBorder="1" applyAlignment="1">
      <alignment horizontal="center" vertical="center"/>
    </xf>
    <xf numFmtId="0" fontId="5" fillId="0" borderId="1" xfId="0" quotePrefix="1" applyFont="1" applyBorder="1" applyAlignment="1">
      <alignment horizontal="center" vertical="center"/>
    </xf>
    <xf numFmtId="0" fontId="5" fillId="0" borderId="1" xfId="0" applyFont="1" applyBorder="1" applyAlignment="1">
      <alignment horizontal="left" vertical="center" wrapText="1"/>
    </xf>
    <xf numFmtId="0" fontId="3" fillId="0" borderId="1" xfId="0" applyFont="1" applyBorder="1" applyAlignment="1">
      <alignment horizontal="left" vertical="center" wrapText="1"/>
    </xf>
    <xf numFmtId="0" fontId="5" fillId="0" borderId="2" xfId="0" applyFont="1" applyBorder="1" applyAlignment="1">
      <alignment horizontal="center" vertical="center"/>
    </xf>
    <xf numFmtId="0" fontId="5"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horizontal="center" vertical="center"/>
    </xf>
    <xf numFmtId="17" fontId="5" fillId="0" borderId="2" xfId="0" applyNumberFormat="1" applyFont="1" applyBorder="1" applyAlignment="1">
      <alignment horizontal="center" vertical="center"/>
    </xf>
    <xf numFmtId="0" fontId="0" fillId="0" borderId="0" xfId="0" applyAlignment="1">
      <alignment horizontal="center"/>
    </xf>
    <xf numFmtId="0" fontId="3" fillId="0" borderId="1" xfId="0" applyFont="1" applyBorder="1"/>
    <xf numFmtId="0" fontId="3" fillId="0" borderId="12" xfId="0" applyFont="1" applyBorder="1"/>
    <xf numFmtId="0" fontId="3" fillId="0" borderId="13" xfId="0" applyFont="1" applyBorder="1"/>
    <xf numFmtId="0" fontId="3" fillId="0" borderId="9" xfId="0" applyFont="1" applyBorder="1"/>
    <xf numFmtId="0" fontId="3" fillId="0" borderId="2" xfId="0" applyFont="1" applyBorder="1"/>
    <xf numFmtId="0" fontId="3" fillId="0" borderId="8" xfId="0" applyFont="1" applyBorder="1"/>
    <xf numFmtId="0" fontId="3" fillId="0" borderId="14" xfId="0" applyFont="1" applyBorder="1"/>
    <xf numFmtId="0" fontId="3" fillId="0" borderId="15" xfId="0" applyFont="1" applyBorder="1"/>
    <xf numFmtId="3" fontId="3" fillId="0" borderId="13" xfId="0" applyNumberFormat="1" applyFont="1" applyBorder="1"/>
    <xf numFmtId="0" fontId="3" fillId="0" borderId="5" xfId="0" applyFont="1" applyBorder="1"/>
    <xf numFmtId="0" fontId="9" fillId="10" borderId="8" xfId="0" applyFont="1" applyFill="1" applyBorder="1"/>
    <xf numFmtId="0" fontId="9" fillId="10" borderId="14" xfId="0" applyFont="1" applyFill="1" applyBorder="1"/>
    <xf numFmtId="0" fontId="9" fillId="10" borderId="15" xfId="0" applyFont="1" applyFill="1" applyBorder="1"/>
    <xf numFmtId="0" fontId="10" fillId="0" borderId="8" xfId="0" applyFont="1" applyBorder="1"/>
    <xf numFmtId="0" fontId="11" fillId="0" borderId="15" xfId="0" applyFont="1" applyBorder="1"/>
    <xf numFmtId="0" fontId="11" fillId="0" borderId="15" xfId="0" applyFont="1" applyBorder="1" applyAlignment="1">
      <alignment wrapText="1"/>
    </xf>
    <xf numFmtId="0" fontId="12" fillId="0" borderId="9" xfId="0" applyFont="1" applyBorder="1"/>
    <xf numFmtId="0" fontId="12" fillId="0" borderId="13" xfId="0" applyFont="1" applyBorder="1"/>
    <xf numFmtId="0" fontId="12" fillId="0" borderId="12" xfId="0" applyFont="1" applyBorder="1"/>
    <xf numFmtId="0" fontId="12" fillId="11" borderId="9" xfId="0" applyFont="1" applyFill="1" applyBorder="1"/>
    <xf numFmtId="0" fontId="12" fillId="11" borderId="13" xfId="0" applyFont="1" applyFill="1" applyBorder="1"/>
    <xf numFmtId="0" fontId="3" fillId="11" borderId="13" xfId="0" applyFont="1" applyFill="1" applyBorder="1"/>
    <xf numFmtId="0" fontId="3" fillId="0" borderId="0" xfId="0" applyFont="1"/>
    <xf numFmtId="0" fontId="12" fillId="0" borderId="0" xfId="0" applyFont="1"/>
    <xf numFmtId="0" fontId="13" fillId="0" borderId="15" xfId="0" applyFont="1" applyBorder="1"/>
    <xf numFmtId="0" fontId="12" fillId="0" borderId="1" xfId="0" applyFont="1" applyBorder="1"/>
    <xf numFmtId="0" fontId="13" fillId="0" borderId="8" xfId="0" applyFont="1" applyBorder="1"/>
    <xf numFmtId="0" fontId="13" fillId="0" borderId="0" xfId="0" applyFont="1"/>
    <xf numFmtId="0" fontId="12" fillId="0" borderId="2" xfId="0" applyFont="1" applyBorder="1"/>
    <xf numFmtId="0" fontId="12" fillId="0" borderId="16" xfId="0" applyFont="1" applyBorder="1"/>
    <xf numFmtId="17" fontId="3" fillId="0" borderId="1" xfId="0" applyNumberFormat="1" applyFont="1" applyBorder="1"/>
    <xf numFmtId="17" fontId="3" fillId="0" borderId="9" xfId="0" applyNumberFormat="1" applyFont="1" applyBorder="1"/>
    <xf numFmtId="0" fontId="3" fillId="0" borderId="13" xfId="0" applyFont="1" applyBorder="1" applyAlignment="1">
      <alignment wrapText="1"/>
    </xf>
    <xf numFmtId="3" fontId="3" fillId="0" borderId="12" xfId="0" applyNumberFormat="1" applyFont="1" applyBorder="1"/>
    <xf numFmtId="17" fontId="3" fillId="0" borderId="13" xfId="0" applyNumberFormat="1" applyFont="1" applyBorder="1"/>
    <xf numFmtId="3" fontId="3" fillId="0" borderId="13" xfId="0" applyNumberFormat="1" applyFont="1" applyBorder="1" applyAlignment="1">
      <alignment wrapText="1"/>
    </xf>
    <xf numFmtId="0" fontId="3" fillId="0" borderId="17" xfId="0" applyFont="1" applyBorder="1"/>
    <xf numFmtId="0" fontId="3" fillId="0" borderId="4" xfId="0" applyFont="1" applyBorder="1"/>
    <xf numFmtId="0" fontId="3" fillId="0" borderId="18" xfId="0" applyFont="1" applyBorder="1"/>
    <xf numFmtId="0" fontId="3" fillId="0" borderId="19" xfId="0" applyFont="1" applyBorder="1"/>
    <xf numFmtId="0" fontId="3" fillId="0" borderId="20" xfId="0" applyFont="1" applyBorder="1"/>
    <xf numFmtId="0" fontId="12" fillId="0" borderId="8" xfId="0" applyFont="1" applyBorder="1"/>
    <xf numFmtId="0" fontId="12" fillId="0" borderId="15" xfId="0" applyFont="1" applyBorder="1"/>
    <xf numFmtId="3" fontId="3" fillId="0" borderId="15" xfId="0" applyNumberFormat="1" applyFont="1" applyBorder="1"/>
    <xf numFmtId="0" fontId="3" fillId="12" borderId="13" xfId="0" applyFont="1" applyFill="1" applyBorder="1"/>
    <xf numFmtId="0" fontId="3" fillId="13" borderId="13" xfId="0" applyFont="1" applyFill="1" applyBorder="1"/>
    <xf numFmtId="0" fontId="9" fillId="12" borderId="8" xfId="0" applyFont="1" applyFill="1" applyBorder="1"/>
    <xf numFmtId="0" fontId="9" fillId="12" borderId="15" xfId="0" applyFont="1" applyFill="1" applyBorder="1"/>
    <xf numFmtId="0" fontId="15" fillId="12" borderId="15" xfId="0" applyFont="1" applyFill="1" applyBorder="1"/>
    <xf numFmtId="0" fontId="15" fillId="12" borderId="8" xfId="0" applyFont="1" applyFill="1" applyBorder="1"/>
    <xf numFmtId="0" fontId="14" fillId="0" borderId="13" xfId="0" applyFont="1" applyBorder="1"/>
    <xf numFmtId="0" fontId="14" fillId="12" borderId="13" xfId="0" applyFont="1" applyFill="1" applyBorder="1"/>
    <xf numFmtId="0" fontId="14" fillId="0" borderId="9" xfId="0" applyFont="1" applyBorder="1"/>
    <xf numFmtId="0" fontId="3" fillId="12" borderId="1" xfId="0" applyFont="1" applyFill="1" applyBorder="1" applyAlignment="1">
      <alignment vertical="center"/>
    </xf>
    <xf numFmtId="0" fontId="5" fillId="12" borderId="2" xfId="0" applyFont="1" applyFill="1" applyBorder="1" applyAlignment="1">
      <alignment vertical="center"/>
    </xf>
    <xf numFmtId="0" fontId="3" fillId="12" borderId="9" xfId="0" applyFont="1" applyFill="1" applyBorder="1"/>
    <xf numFmtId="0" fontId="5" fillId="15" borderId="0" xfId="0" applyFont="1" applyFill="1" applyAlignment="1">
      <alignment vertical="center"/>
    </xf>
    <xf numFmtId="0" fontId="3" fillId="15" borderId="13" xfId="0" applyFont="1" applyFill="1" applyBorder="1"/>
    <xf numFmtId="0" fontId="5" fillId="13" borderId="0" xfId="0" applyFont="1" applyFill="1" applyAlignment="1">
      <alignment vertical="center"/>
    </xf>
    <xf numFmtId="0" fontId="9" fillId="10" borderId="13" xfId="0" applyFont="1" applyFill="1" applyBorder="1"/>
    <xf numFmtId="0" fontId="9" fillId="10" borderId="12" xfId="0" applyFont="1" applyFill="1" applyBorder="1"/>
    <xf numFmtId="0" fontId="3" fillId="0" borderId="13" xfId="0" applyFont="1" applyBorder="1" applyAlignment="1">
      <alignment vertical="center"/>
    </xf>
    <xf numFmtId="0" fontId="3" fillId="0" borderId="16" xfId="0" applyFont="1" applyBorder="1"/>
    <xf numFmtId="0" fontId="3" fillId="13" borderId="8" xfId="0" applyFont="1" applyFill="1" applyBorder="1"/>
    <xf numFmtId="0" fontId="9" fillId="10" borderId="9" xfId="0" applyFont="1" applyFill="1" applyBorder="1"/>
    <xf numFmtId="0" fontId="12" fillId="0" borderId="18" xfId="0" applyFont="1" applyBorder="1"/>
    <xf numFmtId="0" fontId="12" fillId="0" borderId="17" xfId="0" applyFont="1" applyBorder="1"/>
    <xf numFmtId="0" fontId="12" fillId="0" borderId="21" xfId="0" applyFont="1" applyBorder="1"/>
    <xf numFmtId="0" fontId="12" fillId="0" borderId="19" xfId="0" applyFont="1" applyBorder="1"/>
    <xf numFmtId="0" fontId="12" fillId="0" borderId="4" xfId="0" applyFont="1" applyBorder="1"/>
    <xf numFmtId="0" fontId="12" fillId="0" borderId="22" xfId="0" applyFont="1" applyBorder="1"/>
    <xf numFmtId="0" fontId="12" fillId="0" borderId="20" xfId="0" applyFont="1" applyBorder="1"/>
    <xf numFmtId="0" fontId="11" fillId="0" borderId="13" xfId="0" applyFont="1" applyBorder="1"/>
    <xf numFmtId="0" fontId="3" fillId="4" borderId="8" xfId="0" applyFont="1" applyFill="1" applyBorder="1" applyAlignment="1">
      <alignment vertical="center"/>
    </xf>
    <xf numFmtId="0" fontId="4" fillId="13" borderId="0" xfId="0" applyFont="1" applyFill="1" applyAlignment="1">
      <alignment vertical="center"/>
    </xf>
    <xf numFmtId="0" fontId="3" fillId="4" borderId="8" xfId="0" applyFont="1" applyFill="1" applyBorder="1" applyAlignment="1">
      <alignment horizontal="center" vertical="center"/>
    </xf>
    <xf numFmtId="0" fontId="7" fillId="5" borderId="8" xfId="0" applyFont="1" applyFill="1" applyBorder="1" applyAlignment="1">
      <alignment horizontal="center" vertical="center" wrapText="1"/>
    </xf>
    <xf numFmtId="0" fontId="12" fillId="15" borderId="1" xfId="0" applyFont="1" applyFill="1" applyBorder="1"/>
    <xf numFmtId="0" fontId="3" fillId="15" borderId="1" xfId="0" applyFont="1" applyFill="1" applyBorder="1"/>
    <xf numFmtId="0" fontId="3" fillId="15" borderId="2" xfId="0" applyFont="1" applyFill="1" applyBorder="1"/>
    <xf numFmtId="3" fontId="3" fillId="15" borderId="2" xfId="0" applyNumberFormat="1" applyFont="1" applyFill="1" applyBorder="1"/>
    <xf numFmtId="0" fontId="12" fillId="15" borderId="2" xfId="0" applyFont="1" applyFill="1" applyBorder="1"/>
    <xf numFmtId="0" fontId="12" fillId="15" borderId="9" xfId="0" applyFont="1" applyFill="1" applyBorder="1"/>
    <xf numFmtId="0" fontId="12" fillId="15" borderId="13" xfId="0" applyFont="1" applyFill="1" applyBorder="1"/>
    <xf numFmtId="0" fontId="12" fillId="15" borderId="0" xfId="0" applyFont="1" applyFill="1"/>
    <xf numFmtId="0" fontId="12" fillId="15" borderId="18" xfId="0" applyFont="1" applyFill="1" applyBorder="1"/>
    <xf numFmtId="0" fontId="12" fillId="15" borderId="19" xfId="0" applyFont="1" applyFill="1" applyBorder="1"/>
    <xf numFmtId="0" fontId="3" fillId="15" borderId="9" xfId="0" applyFont="1" applyFill="1" applyBorder="1"/>
    <xf numFmtId="0" fontId="3" fillId="15" borderId="8" xfId="0" applyFont="1" applyFill="1" applyBorder="1"/>
    <xf numFmtId="0" fontId="3" fillId="15" borderId="15" xfId="0" applyFont="1" applyFill="1" applyBorder="1"/>
    <xf numFmtId="0" fontId="3" fillId="15" borderId="14" xfId="0" applyFont="1" applyFill="1" applyBorder="1"/>
    <xf numFmtId="0" fontId="12" fillId="15" borderId="5" xfId="0" applyFont="1" applyFill="1" applyBorder="1"/>
    <xf numFmtId="0" fontId="12" fillId="15" borderId="15" xfId="0" applyFont="1" applyFill="1" applyBorder="1"/>
    <xf numFmtId="0" fontId="3" fillId="15" borderId="12" xfId="0" applyFont="1" applyFill="1" applyBorder="1"/>
    <xf numFmtId="0" fontId="9" fillId="18" borderId="2" xfId="0" applyFont="1" applyFill="1" applyBorder="1"/>
    <xf numFmtId="0" fontId="9" fillId="18" borderId="16" xfId="0" applyFont="1" applyFill="1" applyBorder="1"/>
    <xf numFmtId="0" fontId="3" fillId="15" borderId="16" xfId="0" applyFont="1" applyFill="1" applyBorder="1"/>
    <xf numFmtId="0" fontId="3" fillId="15" borderId="0" xfId="0" applyFont="1" applyFill="1"/>
    <xf numFmtId="0" fontId="11" fillId="15" borderId="16" xfId="0" applyFont="1" applyFill="1" applyBorder="1"/>
    <xf numFmtId="166" fontId="3" fillId="4" borderId="8" xfId="0" applyNumberFormat="1" applyFont="1" applyFill="1" applyBorder="1" applyAlignment="1">
      <alignment horizontal="center" vertical="center"/>
    </xf>
    <xf numFmtId="167" fontId="3" fillId="4" borderId="8" xfId="0" applyNumberFormat="1" applyFont="1" applyFill="1" applyBorder="1" applyAlignment="1">
      <alignment horizontal="center" vertical="center"/>
    </xf>
    <xf numFmtId="167" fontId="3" fillId="4" borderId="8" xfId="0" applyNumberFormat="1" applyFont="1" applyFill="1" applyBorder="1" applyAlignment="1">
      <alignment vertical="center"/>
    </xf>
    <xf numFmtId="168" fontId="3" fillId="4" borderId="8" xfId="0" applyNumberFormat="1" applyFont="1" applyFill="1" applyBorder="1" applyAlignment="1">
      <alignment vertical="center"/>
    </xf>
    <xf numFmtId="168" fontId="0" fillId="0" borderId="0" xfId="0" applyNumberFormat="1"/>
    <xf numFmtId="168" fontId="3" fillId="4" borderId="8" xfId="0" quotePrefix="1" applyNumberFormat="1" applyFont="1" applyFill="1" applyBorder="1" applyAlignment="1">
      <alignment vertical="center"/>
    </xf>
    <xf numFmtId="168" fontId="3" fillId="0" borderId="1" xfId="0" applyNumberFormat="1" applyFont="1" applyBorder="1"/>
    <xf numFmtId="3" fontId="3" fillId="15" borderId="1" xfId="0" applyNumberFormat="1" applyFont="1" applyFill="1" applyBorder="1" applyAlignment="1">
      <alignment horizontal="right"/>
    </xf>
    <xf numFmtId="3" fontId="3" fillId="15" borderId="2" xfId="0" applyNumberFormat="1" applyFont="1" applyFill="1" applyBorder="1" applyAlignment="1">
      <alignment horizontal="right"/>
    </xf>
    <xf numFmtId="3" fontId="3" fillId="0" borderId="13" xfId="0" applyNumberFormat="1" applyFont="1" applyBorder="1" applyAlignment="1">
      <alignment horizontal="right"/>
    </xf>
    <xf numFmtId="0" fontId="3" fillId="15" borderId="13" xfId="0" applyFont="1" applyFill="1" applyBorder="1" applyAlignment="1">
      <alignment horizontal="right"/>
    </xf>
    <xf numFmtId="0" fontId="3" fillId="0" borderId="13" xfId="0" applyFont="1" applyBorder="1" applyAlignment="1">
      <alignment horizontal="right"/>
    </xf>
    <xf numFmtId="3" fontId="3" fillId="15" borderId="13" xfId="0" applyNumberFormat="1" applyFont="1" applyFill="1" applyBorder="1" applyAlignment="1">
      <alignment horizontal="right"/>
    </xf>
    <xf numFmtId="0" fontId="3" fillId="15" borderId="16" xfId="0" applyFont="1" applyFill="1" applyBorder="1" applyAlignment="1">
      <alignment horizontal="right"/>
    </xf>
    <xf numFmtId="3" fontId="3" fillId="14" borderId="13" xfId="0" applyNumberFormat="1" applyFont="1" applyFill="1" applyBorder="1" applyAlignment="1">
      <alignment horizontal="right"/>
    </xf>
    <xf numFmtId="0" fontId="3" fillId="14" borderId="13" xfId="0" applyFont="1" applyFill="1" applyBorder="1" applyAlignment="1">
      <alignment horizontal="right"/>
    </xf>
    <xf numFmtId="3" fontId="3" fillId="15" borderId="12" xfId="0" applyNumberFormat="1" applyFont="1" applyFill="1" applyBorder="1" applyAlignment="1">
      <alignment horizontal="right"/>
    </xf>
    <xf numFmtId="3" fontId="3" fillId="14" borderId="1" xfId="0" applyNumberFormat="1" applyFont="1" applyFill="1" applyBorder="1" applyAlignment="1">
      <alignment horizontal="right"/>
    </xf>
    <xf numFmtId="3" fontId="3" fillId="15" borderId="13" xfId="0" applyNumberFormat="1" applyFont="1" applyFill="1" applyBorder="1"/>
    <xf numFmtId="166" fontId="3" fillId="15" borderId="8" xfId="0" applyNumberFormat="1" applyFont="1" applyFill="1" applyBorder="1" applyAlignment="1">
      <alignment horizontal="center" vertical="center"/>
    </xf>
    <xf numFmtId="167" fontId="3" fillId="15" borderId="8" xfId="0" applyNumberFormat="1" applyFont="1" applyFill="1" applyBorder="1" applyAlignment="1">
      <alignment horizontal="center" vertical="center"/>
    </xf>
    <xf numFmtId="168" fontId="3" fillId="15" borderId="8" xfId="0" quotePrefix="1" applyNumberFormat="1" applyFont="1" applyFill="1" applyBorder="1" applyAlignment="1">
      <alignment vertical="center"/>
    </xf>
    <xf numFmtId="167" fontId="3" fillId="15" borderId="8" xfId="0" applyNumberFormat="1" applyFont="1" applyFill="1" applyBorder="1" applyAlignment="1">
      <alignment vertical="center"/>
    </xf>
    <xf numFmtId="3" fontId="3" fillId="14" borderId="15" xfId="0" applyNumberFormat="1" applyFont="1" applyFill="1" applyBorder="1" applyAlignment="1">
      <alignment horizontal="right"/>
    </xf>
    <xf numFmtId="3" fontId="3" fillId="14" borderId="12" xfId="0" applyNumberFormat="1" applyFont="1" applyFill="1" applyBorder="1" applyAlignment="1">
      <alignment horizontal="right"/>
    </xf>
    <xf numFmtId="3" fontId="3" fillId="14" borderId="16" xfId="0" applyNumberFormat="1" applyFont="1" applyFill="1" applyBorder="1" applyAlignment="1">
      <alignment horizontal="right"/>
    </xf>
    <xf numFmtId="3" fontId="3" fillId="15" borderId="16" xfId="0" applyNumberFormat="1" applyFont="1" applyFill="1" applyBorder="1" applyAlignment="1">
      <alignment horizontal="right"/>
    </xf>
    <xf numFmtId="3" fontId="12" fillId="14" borderId="13" xfId="0" applyNumberFormat="1" applyFont="1" applyFill="1" applyBorder="1" applyAlignment="1">
      <alignment horizontal="right"/>
    </xf>
    <xf numFmtId="0" fontId="19" fillId="0" borderId="13" xfId="0" applyFont="1" applyBorder="1"/>
    <xf numFmtId="0" fontId="20" fillId="0" borderId="1" xfId="0" applyFont="1" applyBorder="1"/>
    <xf numFmtId="0" fontId="20" fillId="0" borderId="13" xfId="0" applyFont="1" applyBorder="1"/>
    <xf numFmtId="0" fontId="3" fillId="12" borderId="13" xfId="0" applyFont="1" applyFill="1" applyBorder="1" applyAlignment="1">
      <alignment horizontal="right"/>
    </xf>
    <xf numFmtId="0" fontId="21" fillId="12" borderId="0" xfId="0" quotePrefix="1" applyFont="1" applyFill="1"/>
    <xf numFmtId="0" fontId="0" fillId="0" borderId="0" xfId="0" applyAlignment="1">
      <alignment wrapText="1"/>
    </xf>
    <xf numFmtId="0" fontId="12" fillId="20" borderId="9" xfId="0" applyFont="1" applyFill="1" applyBorder="1"/>
    <xf numFmtId="0" fontId="12" fillId="20" borderId="13" xfId="0" applyFont="1" applyFill="1" applyBorder="1"/>
    <xf numFmtId="0" fontId="3" fillId="20" borderId="13" xfId="0" applyFont="1" applyFill="1" applyBorder="1"/>
    <xf numFmtId="3" fontId="3" fillId="20" borderId="13" xfId="0" applyNumberFormat="1" applyFont="1" applyFill="1" applyBorder="1" applyAlignment="1">
      <alignment horizontal="right"/>
    </xf>
    <xf numFmtId="0" fontId="3" fillId="20" borderId="9" xfId="0" applyFont="1" applyFill="1" applyBorder="1"/>
    <xf numFmtId="0" fontId="3" fillId="20" borderId="13" xfId="0" applyFont="1" applyFill="1" applyBorder="1" applyAlignment="1">
      <alignment horizontal="right"/>
    </xf>
    <xf numFmtId="0" fontId="22" fillId="0" borderId="0" xfId="0" applyFont="1"/>
    <xf numFmtId="0" fontId="23" fillId="0" borderId="0" xfId="0" applyFont="1"/>
    <xf numFmtId="3" fontId="0" fillId="0" borderId="0" xfId="0" applyNumberFormat="1"/>
    <xf numFmtId="165" fontId="0" fillId="0" borderId="0" xfId="0" applyNumberFormat="1"/>
    <xf numFmtId="1" fontId="0" fillId="0" borderId="0" xfId="0" applyNumberFormat="1"/>
    <xf numFmtId="44" fontId="0" fillId="0" borderId="0" xfId="0" applyNumberFormat="1"/>
    <xf numFmtId="0" fontId="12" fillId="0" borderId="25" xfId="0" applyFont="1" applyBorder="1"/>
    <xf numFmtId="0" fontId="3" fillId="0" borderId="26" xfId="0" applyFont="1" applyBorder="1"/>
    <xf numFmtId="0" fontId="17" fillId="16" borderId="25" xfId="0" applyFont="1" applyFill="1" applyBorder="1" applyAlignment="1">
      <alignment horizontal="center"/>
    </xf>
    <xf numFmtId="0" fontId="17" fillId="16" borderId="25" xfId="0" applyFont="1" applyFill="1" applyBorder="1" applyAlignment="1">
      <alignment horizontal="center" wrapText="1"/>
    </xf>
    <xf numFmtId="0" fontId="0" fillId="0" borderId="25" xfId="0" applyBorder="1"/>
    <xf numFmtId="0" fontId="0" fillId="0" borderId="25" xfId="0" applyBorder="1" applyAlignment="1">
      <alignment horizontal="center"/>
    </xf>
    <xf numFmtId="164" fontId="0" fillId="0" borderId="25" xfId="1" applyNumberFormat="1" applyFont="1" applyBorder="1" applyAlignment="1">
      <alignment horizontal="center"/>
    </xf>
    <xf numFmtId="0" fontId="0" fillId="14" borderId="25" xfId="0" applyFill="1" applyBorder="1"/>
    <xf numFmtId="0" fontId="0" fillId="14" borderId="25" xfId="0" applyFill="1" applyBorder="1" applyAlignment="1">
      <alignment horizontal="center"/>
    </xf>
    <xf numFmtId="164" fontId="0" fillId="14" borderId="25" xfId="1" applyNumberFormat="1" applyFont="1" applyFill="1" applyBorder="1" applyAlignment="1">
      <alignment horizontal="center"/>
    </xf>
    <xf numFmtId="164" fontId="0" fillId="0" borderId="25" xfId="1" applyNumberFormat="1" applyFont="1" applyFill="1" applyBorder="1" applyAlignment="1">
      <alignment horizontal="center"/>
    </xf>
    <xf numFmtId="164" fontId="0" fillId="13" borderId="25" xfId="1" applyNumberFormat="1" applyFont="1" applyFill="1" applyBorder="1" applyAlignment="1">
      <alignment horizontal="center"/>
    </xf>
    <xf numFmtId="164" fontId="17" fillId="0" borderId="25" xfId="1" applyNumberFormat="1" applyFont="1" applyBorder="1"/>
    <xf numFmtId="164" fontId="17" fillId="0" borderId="25" xfId="1" applyNumberFormat="1" applyFont="1" applyFill="1" applyBorder="1" applyAlignment="1">
      <alignment horizontal="center"/>
    </xf>
    <xf numFmtId="0" fontId="4" fillId="0" borderId="27" xfId="0" applyFont="1" applyBorder="1" applyAlignment="1">
      <alignment horizontal="center" vertical="center" wrapText="1"/>
    </xf>
    <xf numFmtId="0" fontId="6" fillId="2" borderId="27" xfId="0" applyFont="1" applyFill="1" applyBorder="1" applyAlignment="1">
      <alignment horizontal="center" vertical="center" wrapText="1"/>
    </xf>
    <xf numFmtId="0" fontId="4" fillId="0" borderId="27" xfId="0" applyFont="1" applyBorder="1" applyAlignment="1">
      <alignment horizontal="right" vertical="center" wrapText="1"/>
    </xf>
    <xf numFmtId="0" fontId="4" fillId="3" borderId="27" xfId="0" applyFont="1" applyFill="1" applyBorder="1" applyAlignment="1">
      <alignment horizontal="center" vertical="center" wrapText="1"/>
    </xf>
    <xf numFmtId="0" fontId="7" fillId="5" borderId="25" xfId="0" applyFont="1" applyFill="1" applyBorder="1" applyAlignment="1">
      <alignment horizontal="center" vertical="center" wrapText="1"/>
    </xf>
    <xf numFmtId="0" fontId="3" fillId="15" borderId="25" xfId="0" applyFont="1" applyFill="1" applyBorder="1" applyAlignment="1">
      <alignment vertical="center"/>
    </xf>
    <xf numFmtId="0" fontId="3" fillId="20" borderId="25" xfId="0" applyFont="1" applyFill="1" applyBorder="1" applyAlignment="1">
      <alignment vertical="center"/>
    </xf>
    <xf numFmtId="0" fontId="3" fillId="4" borderId="25" xfId="0" applyFont="1" applyFill="1" applyBorder="1" applyAlignment="1">
      <alignment vertical="center"/>
    </xf>
    <xf numFmtId="0" fontId="3" fillId="15" borderId="25" xfId="0" applyFont="1" applyFill="1" applyBorder="1" applyAlignment="1">
      <alignment horizontal="center" vertical="center"/>
    </xf>
    <xf numFmtId="0" fontId="18" fillId="15" borderId="25" xfId="0" applyFont="1" applyFill="1" applyBorder="1" applyAlignment="1">
      <alignment vertical="center"/>
    </xf>
    <xf numFmtId="167" fontId="3" fillId="15" borderId="25" xfId="0" applyNumberFormat="1" applyFont="1" applyFill="1" applyBorder="1" applyAlignment="1">
      <alignment vertical="center"/>
    </xf>
    <xf numFmtId="0" fontId="7" fillId="17" borderId="25" xfId="0" applyFont="1" applyFill="1" applyBorder="1" applyAlignment="1">
      <alignment horizontal="center" vertical="center" wrapText="1"/>
    </xf>
    <xf numFmtId="168" fontId="7" fillId="17" borderId="25" xfId="0" applyNumberFormat="1" applyFont="1" applyFill="1" applyBorder="1" applyAlignment="1">
      <alignment horizontal="center" vertical="center" wrapText="1"/>
    </xf>
    <xf numFmtId="166" fontId="7" fillId="17" borderId="25" xfId="0" applyNumberFormat="1" applyFont="1" applyFill="1" applyBorder="1" applyAlignment="1">
      <alignment horizontal="center" vertical="center" wrapText="1"/>
    </xf>
    <xf numFmtId="167" fontId="7" fillId="17" borderId="25" xfId="0" applyNumberFormat="1" applyFont="1" applyFill="1" applyBorder="1" applyAlignment="1">
      <alignment horizontal="center" vertical="center" wrapText="1"/>
    </xf>
    <xf numFmtId="167" fontId="3" fillId="4" borderId="25" xfId="0" applyNumberFormat="1" applyFont="1" applyFill="1" applyBorder="1" applyAlignment="1">
      <alignment vertical="center"/>
    </xf>
    <xf numFmtId="0" fontId="3" fillId="4" borderId="25" xfId="0" applyFont="1" applyFill="1" applyBorder="1" applyAlignment="1">
      <alignment horizontal="center" vertical="center"/>
    </xf>
    <xf numFmtId="0" fontId="12" fillId="4" borderId="25" xfId="0" applyFont="1" applyFill="1" applyBorder="1" applyAlignment="1">
      <alignment vertical="center"/>
    </xf>
    <xf numFmtId="0" fontId="3" fillId="13" borderId="25" xfId="0" applyFont="1" applyFill="1" applyBorder="1" applyAlignment="1">
      <alignment vertical="center"/>
    </xf>
    <xf numFmtId="0" fontId="3" fillId="4" borderId="26" xfId="0" applyFont="1" applyFill="1" applyBorder="1" applyAlignment="1">
      <alignment vertical="center"/>
    </xf>
    <xf numFmtId="0" fontId="12" fillId="0" borderId="27" xfId="0" applyFont="1" applyBorder="1"/>
    <xf numFmtId="0" fontId="12" fillId="0" borderId="28" xfId="0" applyFont="1" applyBorder="1"/>
    <xf numFmtId="0" fontId="3" fillId="0" borderId="28" xfId="0" applyFont="1" applyBorder="1"/>
    <xf numFmtId="0" fontId="3" fillId="14" borderId="28" xfId="0" applyFont="1" applyFill="1" applyBorder="1" applyAlignment="1">
      <alignment horizontal="right"/>
    </xf>
    <xf numFmtId="0" fontId="3" fillId="0" borderId="25" xfId="0" applyFont="1" applyBorder="1"/>
    <xf numFmtId="3" fontId="3" fillId="0" borderId="28" xfId="0" applyNumberFormat="1" applyFont="1" applyBorder="1"/>
    <xf numFmtId="0" fontId="7" fillId="0" borderId="25" xfId="0" applyFont="1" applyBorder="1" applyAlignment="1">
      <alignment wrapText="1"/>
    </xf>
    <xf numFmtId="0" fontId="7" fillId="0" borderId="26" xfId="0" applyFont="1" applyBorder="1" applyAlignment="1">
      <alignment wrapText="1"/>
    </xf>
    <xf numFmtId="0" fontId="8" fillId="8" borderId="27" xfId="0" applyFont="1" applyFill="1" applyBorder="1" applyAlignment="1">
      <alignment wrapText="1"/>
    </xf>
    <xf numFmtId="0" fontId="7" fillId="9" borderId="27" xfId="0" applyFont="1" applyFill="1" applyBorder="1" applyAlignment="1">
      <alignment wrapText="1"/>
    </xf>
    <xf numFmtId="0" fontId="9" fillId="10" borderId="25" xfId="0" applyFont="1" applyFill="1" applyBorder="1"/>
    <xf numFmtId="0" fontId="9" fillId="10" borderId="26" xfId="0" applyFont="1" applyFill="1" applyBorder="1"/>
    <xf numFmtId="0" fontId="11" fillId="0" borderId="26" xfId="0" applyFont="1" applyBorder="1"/>
    <xf numFmtId="0" fontId="13" fillId="0" borderId="26" xfId="0" applyFont="1" applyBorder="1"/>
    <xf numFmtId="165" fontId="3" fillId="0" borderId="13" xfId="2" applyNumberFormat="1" applyFont="1" applyBorder="1"/>
    <xf numFmtId="165" fontId="3" fillId="20" borderId="13" xfId="2" applyNumberFormat="1" applyFont="1" applyFill="1" applyBorder="1"/>
    <xf numFmtId="168" fontId="3" fillId="20" borderId="1" xfId="0" applyNumberFormat="1" applyFont="1" applyFill="1" applyBorder="1"/>
    <xf numFmtId="165" fontId="3" fillId="0" borderId="13" xfId="2" applyNumberFormat="1" applyFont="1" applyBorder="1" applyAlignment="1">
      <alignment horizontal="right"/>
    </xf>
    <xf numFmtId="168" fontId="3" fillId="15" borderId="1" xfId="0" applyNumberFormat="1" applyFont="1" applyFill="1" applyBorder="1"/>
    <xf numFmtId="168" fontId="3" fillId="15" borderId="8" xfId="0" applyNumberFormat="1" applyFont="1" applyFill="1" applyBorder="1" applyAlignment="1">
      <alignment vertical="center"/>
    </xf>
    <xf numFmtId="0" fontId="4" fillId="3" borderId="27" xfId="0" applyFont="1" applyFill="1" applyBorder="1" applyAlignment="1">
      <alignment horizontal="right" vertical="center" wrapText="1"/>
    </xf>
    <xf numFmtId="168" fontId="3" fillId="4" borderId="25" xfId="0" applyNumberFormat="1" applyFont="1" applyFill="1" applyBorder="1" applyAlignment="1">
      <alignment vertical="center"/>
    </xf>
    <xf numFmtId="168" fontId="3" fillId="14" borderId="1" xfId="0" applyNumberFormat="1" applyFont="1" applyFill="1" applyBorder="1"/>
    <xf numFmtId="168" fontId="3" fillId="19" borderId="1" xfId="0" applyNumberFormat="1" applyFont="1" applyFill="1" applyBorder="1"/>
    <xf numFmtId="0" fontId="4" fillId="0" borderId="3"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9" xfId="0" applyFont="1" applyBorder="1" applyAlignment="1">
      <alignment horizontal="center" vertical="center" wrapText="1"/>
    </xf>
    <xf numFmtId="0" fontId="4" fillId="0" borderId="8" xfId="0" applyFont="1" applyBorder="1" applyAlignment="1">
      <alignment horizontal="center" vertical="center" wrapText="1"/>
    </xf>
    <xf numFmtId="0" fontId="4" fillId="6" borderId="23"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7" borderId="24"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6" fillId="21" borderId="11" xfId="0" applyFont="1" applyFill="1" applyBorder="1" applyAlignment="1">
      <alignment horizontal="center" vertical="center" wrapText="1"/>
    </xf>
    <xf numFmtId="0" fontId="6" fillId="21" borderId="11" xfId="0" applyFont="1" applyFill="1" applyBorder="1" applyAlignment="1">
      <alignment horizontal="right" vertical="center" wrapText="1"/>
    </xf>
    <xf numFmtId="0" fontId="7" fillId="22" borderId="11" xfId="0" applyFont="1" applyFill="1" applyBorder="1" applyAlignment="1">
      <alignment horizontal="center" vertical="center" wrapText="1"/>
    </xf>
  </cellXfs>
  <cellStyles count="3">
    <cellStyle name="Moneda" xfId="1" builtinId="4"/>
    <cellStyle name="Normal" xfId="0" builtinId="0"/>
    <cellStyle name="Porcentaje" xfId="2" builtinId="5"/>
  </cellStyles>
  <dxfs count="3">
    <dxf>
      <font>
        <b/>
        <i val="0"/>
        <strike val="0"/>
        <condense val="0"/>
        <extend val="0"/>
        <outline val="0"/>
        <shadow val="0"/>
        <u val="none"/>
        <vertAlign val="baseline"/>
        <sz val="10"/>
        <color theme="0"/>
        <name val="Tahoma"/>
        <family val="2"/>
        <scheme val="none"/>
      </font>
      <fill>
        <patternFill patternType="solid">
          <fgColor indexed="64"/>
          <bgColor theme="9"/>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border outline="0">
        <bottom style="thin">
          <color rgb="FF000000"/>
        </bottom>
      </border>
    </dxf>
    <dxf>
      <border outline="0">
        <top style="thin">
          <color rgb="FF000000"/>
        </top>
      </border>
    </dxf>
  </dxfs>
  <tableStyles count="0" defaultTableStyle="TableStyleMedium2" defaultPivotStyle="PivotStyleLight16"/>
  <colors>
    <mruColors>
      <color rgb="FFFFCCFF"/>
      <color rgb="FFCCCCFF"/>
      <color rgb="FFE4DFE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ohn Edwin Mora Suarez" id="{06F505AF-9D49-472A-88BD-598AEB711697}" userId="S::john.mora@tigo.com.co::7b0ea63b-7a7e-4675-8bb4-8975171fe3f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F043C9-B7DC-4F4F-9754-990D641C9EA0}" name="Tabla2" displayName="Tabla2" ref="A1:P2" insertRow="1" totalsRowShown="0" headerRowDxfId="0" headerRowBorderDxfId="1" tableBorderDxfId="2">
  <autoFilter ref="A1:P2" xr:uid="{3BF043C9-B7DC-4F4F-9754-990D641C9EA0}"/>
  <tableColumns count="16">
    <tableColumn id="1" xr3:uid="{2A857EB3-172B-4FA5-91E1-811F919AF950}" name="Equipment"/>
    <tableColumn id="2" xr3:uid="{AC731242-89B2-4322-878C-D92FD80DA2AC}" name="Income / Dismount"/>
    <tableColumn id="3" xr3:uid="{5FC45E35-33F9-44DA-8C2F-A78099DC33CE}" name="Technical Site"/>
    <tableColumn id="4" xr3:uid="{0AA5152D-5F30-48D5-9979-9D98C9D0037F}" name="Additional m2? _x000a_Yes/No"/>
    <tableColumn id="5" xr3:uid="{60A4A778-3F06-4215-892F-D18C77C80A49}" name="If Yes: _x000a_# Racks?"/>
    <tableColumn id="6" xr3:uid="{7CAC10B8-598E-4851-8CAC-101B04C5CDCA}" name="Tipo de racks"/>
    <tableColumn id="7" xr3:uid="{0E352C04-00BF-427E-A959-2FF264F42BED}" name="Quantity Equipment DC"/>
    <tableColumn id="8" xr3:uid="{8D0F0094-9709-4B07-B185-A46005BAB07D}" name="Average Power (W)"/>
    <tableColumn id="9" xr3:uid="{EA56D5B3-84BB-4DFF-82B5-F83D95FF59F5}" name="Máx. Power DC (W)"/>
    <tableColumn id="10" xr3:uid="{5DC3A665-592F-4297-B24E-7BE0A9117811}" name="Es ampliación de tarjeta en equipo existente?"/>
    <tableColumn id="11" xr3:uid="{31BA5B57-4EC2-4AED-A8D1-D6C621382260}" name="Potencia a liberar"/>
    <tableColumn id="12" xr3:uid="{B217A998-8DBF-4A60-90FC-3CF4861B2659}" name="Sitio y equipo con el que se libero la potencia"/>
    <tableColumn id="13" xr3:uid="{DA7D5859-51EE-4389-887B-703A0530A91D}" name="Voltage_x000a_(AC or DC)"/>
    <tableColumn id="14" xr3:uid="{CE326FA5-2846-4168-8E48-9CFAEE697B2E}" name="Air DissipationBTU"/>
    <tableColumn id="15" xr3:uid="{BF704159-C109-438F-BE52-C6B729F1C3DF}" name="Power sources"/>
    <tableColumn id="16" xr3:uid="{89711CA4-05D8-4CCC-86FC-6964B22AA13D}" name="PRE-Factibilidad Infraestructura _x000a_(Si / No)"/>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Q114" dT="2022-11-09T15:14:41.94" personId="{06F505AF-9D49-472A-88BD-598AEB711697}" id="{15C78DD2-FF90-4EDD-AFC8-FC4718F650B7}">
    <text>Se usa rectificador de nuevos sitios, se deja servicios de instalación y cableado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9280-DA05-48B4-8B40-F92AC3D25B62}">
  <dimension ref="A1:Y135"/>
  <sheetViews>
    <sheetView workbookViewId="0">
      <pane xSplit="1" ySplit="3" topLeftCell="D4" activePane="bottomRight" state="frozen"/>
      <selection pane="topRight" activeCell="B1" sqref="B1"/>
      <selection pane="bottomLeft" activeCell="A4" sqref="A4"/>
      <selection pane="bottomRight" activeCell="D4" sqref="D4"/>
    </sheetView>
  </sheetViews>
  <sheetFormatPr baseColWidth="10" defaultColWidth="11.42578125" defaultRowHeight="12.75" x14ac:dyDescent="0.25"/>
  <cols>
    <col min="1" max="1" width="26.85546875" style="5" bestFit="1" customWidth="1"/>
    <col min="2" max="2" width="18.28515625" style="5" customWidth="1"/>
    <col min="3" max="3" width="10.140625" style="5" customWidth="1"/>
    <col min="4" max="4" width="17.85546875" style="5" customWidth="1"/>
    <col min="5" max="5" width="23.140625" style="5" customWidth="1"/>
    <col min="6" max="6" width="5.42578125" style="5" bestFit="1" customWidth="1"/>
    <col min="7" max="7" width="22" style="3" bestFit="1" customWidth="1"/>
    <col min="8" max="9" width="21.5703125" style="3" customWidth="1"/>
    <col min="10" max="10" width="14.7109375" style="5" customWidth="1"/>
    <col min="11" max="11" width="10" style="3" customWidth="1"/>
    <col min="12" max="20" width="11.42578125" style="3" customWidth="1"/>
    <col min="21" max="21" width="11.42578125" style="5" customWidth="1"/>
    <col min="22" max="22" width="11.42578125" style="3" customWidth="1"/>
    <col min="23" max="24" width="11.42578125" style="3"/>
    <col min="25" max="25" width="47.5703125" style="3" customWidth="1"/>
    <col min="26" max="16384" width="11.42578125" style="3"/>
  </cols>
  <sheetData>
    <row r="1" spans="1:25" ht="38.25" customHeight="1" x14ac:dyDescent="0.25">
      <c r="A1" s="227" t="s">
        <v>0</v>
      </c>
      <c r="B1" s="227" t="s">
        <v>1</v>
      </c>
      <c r="C1" s="227" t="s">
        <v>2</v>
      </c>
      <c r="D1" s="227" t="s">
        <v>3</v>
      </c>
      <c r="E1" s="227" t="s">
        <v>4</v>
      </c>
      <c r="F1" s="227" t="s">
        <v>5</v>
      </c>
      <c r="G1" s="237" t="s">
        <v>6</v>
      </c>
      <c r="H1" s="237" t="s">
        <v>7</v>
      </c>
      <c r="I1" s="237" t="s">
        <v>8</v>
      </c>
      <c r="J1" s="227" t="s">
        <v>9</v>
      </c>
      <c r="K1" s="227" t="s">
        <v>10</v>
      </c>
      <c r="L1" s="237" t="s">
        <v>11</v>
      </c>
      <c r="M1" s="227" t="s">
        <v>12</v>
      </c>
      <c r="N1" s="227" t="s">
        <v>13</v>
      </c>
      <c r="O1" s="237" t="s">
        <v>14</v>
      </c>
      <c r="P1" s="227" t="s">
        <v>15</v>
      </c>
      <c r="Q1" s="227" t="s">
        <v>16</v>
      </c>
      <c r="R1" s="227" t="s">
        <v>17</v>
      </c>
      <c r="S1" s="227" t="s">
        <v>18</v>
      </c>
      <c r="T1" s="227" t="s">
        <v>19</v>
      </c>
      <c r="U1" s="227" t="s">
        <v>15</v>
      </c>
      <c r="V1" s="231" t="s">
        <v>20</v>
      </c>
      <c r="W1" s="234" t="s">
        <v>21</v>
      </c>
      <c r="X1" s="237" t="s">
        <v>22</v>
      </c>
      <c r="Y1" s="224" t="s">
        <v>23</v>
      </c>
    </row>
    <row r="2" spans="1:25" x14ac:dyDescent="0.25">
      <c r="A2" s="228"/>
      <c r="B2" s="228"/>
      <c r="C2" s="228"/>
      <c r="D2" s="228"/>
      <c r="E2" s="228"/>
      <c r="F2" s="228"/>
      <c r="G2" s="238"/>
      <c r="H2" s="238"/>
      <c r="I2" s="238"/>
      <c r="J2" s="228"/>
      <c r="K2" s="228"/>
      <c r="L2" s="238"/>
      <c r="M2" s="228"/>
      <c r="N2" s="228"/>
      <c r="O2" s="238"/>
      <c r="P2" s="228"/>
      <c r="Q2" s="228"/>
      <c r="R2" s="228"/>
      <c r="S2" s="228"/>
      <c r="T2" s="228"/>
      <c r="U2" s="228"/>
      <c r="V2" s="232"/>
      <c r="W2" s="235"/>
      <c r="X2" s="238"/>
      <c r="Y2" s="225"/>
    </row>
    <row r="3" spans="1:25" x14ac:dyDescent="0.25">
      <c r="A3" s="230"/>
      <c r="B3" s="230"/>
      <c r="C3" s="230"/>
      <c r="D3" s="230"/>
      <c r="E3" s="230"/>
      <c r="F3" s="230"/>
      <c r="G3" s="239"/>
      <c r="H3" s="239"/>
      <c r="I3" s="239"/>
      <c r="J3" s="230"/>
      <c r="K3" s="229"/>
      <c r="L3" s="239"/>
      <c r="M3" s="229"/>
      <c r="N3" s="229"/>
      <c r="O3" s="239"/>
      <c r="P3" s="230"/>
      <c r="Q3" s="230"/>
      <c r="R3" s="230"/>
      <c r="S3" s="229"/>
      <c r="T3" s="229"/>
      <c r="U3" s="230"/>
      <c r="V3" s="233"/>
      <c r="W3" s="236"/>
      <c r="X3" s="239"/>
      <c r="Y3" s="226"/>
    </row>
    <row r="4" spans="1:25" x14ac:dyDescent="0.2">
      <c r="A4" s="46" t="s">
        <v>24</v>
      </c>
      <c r="B4" s="39" t="s">
        <v>25</v>
      </c>
      <c r="C4" s="39" t="s">
        <v>26</v>
      </c>
      <c r="D4" s="39" t="s">
        <v>27</v>
      </c>
      <c r="E4" s="39" t="s">
        <v>28</v>
      </c>
      <c r="F4" s="39">
        <v>2023</v>
      </c>
      <c r="G4" s="22" t="s">
        <v>29</v>
      </c>
      <c r="H4" s="22" t="s">
        <v>30</v>
      </c>
      <c r="I4" s="22" t="s">
        <v>31</v>
      </c>
      <c r="J4" s="39" t="s">
        <v>32</v>
      </c>
      <c r="K4" s="22">
        <v>2</v>
      </c>
      <c r="L4" s="22">
        <v>1</v>
      </c>
      <c r="M4" s="22">
        <v>842</v>
      </c>
      <c r="N4" s="54">
        <v>1403</v>
      </c>
      <c r="O4" s="22" t="s">
        <v>31</v>
      </c>
      <c r="P4" s="39" t="s">
        <v>33</v>
      </c>
      <c r="Q4" s="39" t="s">
        <v>31</v>
      </c>
      <c r="R4" s="39">
        <v>2</v>
      </c>
      <c r="S4" s="22">
        <v>0</v>
      </c>
      <c r="T4" s="22">
        <v>0</v>
      </c>
      <c r="U4" s="39" t="s">
        <v>33</v>
      </c>
      <c r="V4" s="22">
        <v>3</v>
      </c>
      <c r="W4" s="57" t="s">
        <v>34</v>
      </c>
      <c r="X4" s="58" t="s">
        <v>31</v>
      </c>
      <c r="Y4" s="46" t="s">
        <v>31</v>
      </c>
    </row>
    <row r="5" spans="1:25" x14ac:dyDescent="0.2">
      <c r="A5" s="37" t="s">
        <v>24</v>
      </c>
      <c r="B5" s="38" t="s">
        <v>25</v>
      </c>
      <c r="C5" s="38" t="s">
        <v>26</v>
      </c>
      <c r="D5" s="38" t="s">
        <v>27</v>
      </c>
      <c r="E5" s="38" t="s">
        <v>28</v>
      </c>
      <c r="F5" s="38">
        <v>2023</v>
      </c>
      <c r="G5" s="23" t="s">
        <v>29</v>
      </c>
      <c r="H5" s="23" t="s">
        <v>35</v>
      </c>
      <c r="I5" s="23" t="s">
        <v>31</v>
      </c>
      <c r="J5" s="38" t="s">
        <v>32</v>
      </c>
      <c r="K5" s="23">
        <v>2</v>
      </c>
      <c r="L5" s="23">
        <v>1</v>
      </c>
      <c r="M5" s="23">
        <v>842</v>
      </c>
      <c r="N5" s="29">
        <v>1403</v>
      </c>
      <c r="O5" s="23" t="s">
        <v>31</v>
      </c>
      <c r="P5" s="38" t="s">
        <v>33</v>
      </c>
      <c r="Q5" s="38" t="s">
        <v>31</v>
      </c>
      <c r="R5" s="38">
        <v>2</v>
      </c>
      <c r="S5" s="23">
        <v>0</v>
      </c>
      <c r="T5" s="23">
        <v>0</v>
      </c>
      <c r="U5" s="38" t="s">
        <v>33</v>
      </c>
      <c r="V5" s="23">
        <v>3</v>
      </c>
      <c r="W5" s="59" t="s">
        <v>34</v>
      </c>
      <c r="X5" s="60" t="s">
        <v>31</v>
      </c>
      <c r="Y5" s="37" t="s">
        <v>31</v>
      </c>
    </row>
    <row r="6" spans="1:25" x14ac:dyDescent="0.2">
      <c r="A6" s="37" t="s">
        <v>24</v>
      </c>
      <c r="B6" s="38" t="s">
        <v>25</v>
      </c>
      <c r="C6" s="38" t="s">
        <v>26</v>
      </c>
      <c r="D6" s="38" t="s">
        <v>27</v>
      </c>
      <c r="E6" s="38" t="s">
        <v>28</v>
      </c>
      <c r="F6" s="38">
        <v>2023</v>
      </c>
      <c r="G6" s="23" t="s">
        <v>29</v>
      </c>
      <c r="H6" s="23" t="s">
        <v>36</v>
      </c>
      <c r="I6" s="23" t="s">
        <v>31</v>
      </c>
      <c r="J6" s="38" t="s">
        <v>32</v>
      </c>
      <c r="K6" s="23">
        <v>2</v>
      </c>
      <c r="L6" s="23">
        <v>1</v>
      </c>
      <c r="M6" s="23">
        <v>842</v>
      </c>
      <c r="N6" s="29">
        <v>1403</v>
      </c>
      <c r="O6" s="23" t="s">
        <v>31</v>
      </c>
      <c r="P6" s="38" t="s">
        <v>33</v>
      </c>
      <c r="Q6" s="38" t="s">
        <v>31</v>
      </c>
      <c r="R6" s="38">
        <v>2</v>
      </c>
      <c r="S6" s="23">
        <v>0</v>
      </c>
      <c r="T6" s="23">
        <v>0</v>
      </c>
      <c r="U6" s="38" t="s">
        <v>33</v>
      </c>
      <c r="V6" s="23">
        <v>3</v>
      </c>
      <c r="W6" s="59" t="s">
        <v>34</v>
      </c>
      <c r="X6" s="60" t="s">
        <v>31</v>
      </c>
      <c r="Y6" s="37" t="s">
        <v>31</v>
      </c>
    </row>
    <row r="7" spans="1:25" x14ac:dyDescent="0.2">
      <c r="A7" s="37" t="s">
        <v>24</v>
      </c>
      <c r="B7" s="38" t="s">
        <v>25</v>
      </c>
      <c r="C7" s="38" t="s">
        <v>26</v>
      </c>
      <c r="D7" s="38" t="s">
        <v>27</v>
      </c>
      <c r="E7" s="38" t="s">
        <v>28</v>
      </c>
      <c r="F7" s="38">
        <v>2023</v>
      </c>
      <c r="G7" s="23" t="s">
        <v>37</v>
      </c>
      <c r="H7" s="23" t="s">
        <v>38</v>
      </c>
      <c r="I7" s="23" t="s">
        <v>31</v>
      </c>
      <c r="J7" s="38" t="s">
        <v>32</v>
      </c>
      <c r="K7" s="23">
        <v>2</v>
      </c>
      <c r="L7" s="23">
        <v>1</v>
      </c>
      <c r="M7" s="23">
        <v>842</v>
      </c>
      <c r="N7" s="29">
        <v>1403</v>
      </c>
      <c r="O7" s="23" t="s">
        <v>31</v>
      </c>
      <c r="P7" s="38" t="s">
        <v>33</v>
      </c>
      <c r="Q7" s="38" t="s">
        <v>31</v>
      </c>
      <c r="R7" s="38">
        <v>2</v>
      </c>
      <c r="S7" s="23">
        <v>0</v>
      </c>
      <c r="T7" s="23">
        <v>0</v>
      </c>
      <c r="U7" s="38" t="s">
        <v>33</v>
      </c>
      <c r="V7" s="23">
        <v>3</v>
      </c>
      <c r="W7" s="59" t="s">
        <v>39</v>
      </c>
      <c r="X7" s="60" t="s">
        <v>31</v>
      </c>
      <c r="Y7" s="37" t="s">
        <v>31</v>
      </c>
    </row>
    <row r="8" spans="1:25" x14ac:dyDescent="0.2">
      <c r="A8" s="37" t="s">
        <v>24</v>
      </c>
      <c r="B8" s="38" t="s">
        <v>25</v>
      </c>
      <c r="C8" s="38" t="s">
        <v>26</v>
      </c>
      <c r="D8" s="38" t="s">
        <v>27</v>
      </c>
      <c r="E8" s="38" t="s">
        <v>28</v>
      </c>
      <c r="F8" s="38">
        <v>2023</v>
      </c>
      <c r="G8" s="23" t="s">
        <v>40</v>
      </c>
      <c r="H8" s="23" t="s">
        <v>38</v>
      </c>
      <c r="I8" s="23" t="s">
        <v>31</v>
      </c>
      <c r="J8" s="38" t="s">
        <v>32</v>
      </c>
      <c r="K8" s="23">
        <v>2</v>
      </c>
      <c r="L8" s="23">
        <v>1</v>
      </c>
      <c r="M8" s="23">
        <v>842</v>
      </c>
      <c r="N8" s="29">
        <v>1403</v>
      </c>
      <c r="O8" s="23" t="s">
        <v>31</v>
      </c>
      <c r="P8" s="38" t="s">
        <v>33</v>
      </c>
      <c r="Q8" s="38" t="s">
        <v>31</v>
      </c>
      <c r="R8" s="38">
        <v>2</v>
      </c>
      <c r="S8" s="23">
        <v>0</v>
      </c>
      <c r="T8" s="23">
        <v>0</v>
      </c>
      <c r="U8" s="38" t="s">
        <v>33</v>
      </c>
      <c r="V8" s="23">
        <v>3</v>
      </c>
      <c r="W8" s="59" t="s">
        <v>39</v>
      </c>
      <c r="X8" s="60" t="s">
        <v>31</v>
      </c>
      <c r="Y8" s="37" t="s">
        <v>31</v>
      </c>
    </row>
    <row r="9" spans="1:25" x14ac:dyDescent="0.2">
      <c r="A9" s="37" t="s">
        <v>24</v>
      </c>
      <c r="B9" s="38" t="s">
        <v>25</v>
      </c>
      <c r="C9" s="38" t="s">
        <v>26</v>
      </c>
      <c r="D9" s="38" t="s">
        <v>27</v>
      </c>
      <c r="E9" s="38" t="s">
        <v>28</v>
      </c>
      <c r="F9" s="38">
        <v>2023</v>
      </c>
      <c r="G9" s="23" t="s">
        <v>41</v>
      </c>
      <c r="H9" s="23" t="s">
        <v>38</v>
      </c>
      <c r="I9" s="23" t="s">
        <v>31</v>
      </c>
      <c r="J9" s="38" t="s">
        <v>32</v>
      </c>
      <c r="K9" s="23">
        <v>2</v>
      </c>
      <c r="L9" s="23">
        <v>1</v>
      </c>
      <c r="M9" s="23">
        <v>842</v>
      </c>
      <c r="N9" s="29">
        <v>1403</v>
      </c>
      <c r="O9" s="23" t="s">
        <v>31</v>
      </c>
      <c r="P9" s="38" t="s">
        <v>33</v>
      </c>
      <c r="Q9" s="38" t="s">
        <v>31</v>
      </c>
      <c r="R9" s="38">
        <v>2</v>
      </c>
      <c r="S9" s="23">
        <v>0</v>
      </c>
      <c r="T9" s="23">
        <v>0</v>
      </c>
      <c r="U9" s="38" t="s">
        <v>33</v>
      </c>
      <c r="V9" s="23">
        <v>3</v>
      </c>
      <c r="W9" s="59" t="s">
        <v>39</v>
      </c>
      <c r="X9" s="60" t="s">
        <v>31</v>
      </c>
      <c r="Y9" s="37" t="s">
        <v>31</v>
      </c>
    </row>
    <row r="10" spans="1:25" x14ac:dyDescent="0.2">
      <c r="A10" s="37" t="s">
        <v>24</v>
      </c>
      <c r="B10" s="38" t="s">
        <v>25</v>
      </c>
      <c r="C10" s="38" t="s">
        <v>26</v>
      </c>
      <c r="D10" s="38" t="s">
        <v>27</v>
      </c>
      <c r="E10" s="38" t="s">
        <v>28</v>
      </c>
      <c r="F10" s="38">
        <v>2023</v>
      </c>
      <c r="G10" s="23" t="s">
        <v>42</v>
      </c>
      <c r="H10" s="23" t="s">
        <v>38</v>
      </c>
      <c r="I10" s="23" t="s">
        <v>31</v>
      </c>
      <c r="J10" s="38" t="s">
        <v>32</v>
      </c>
      <c r="K10" s="23">
        <v>2</v>
      </c>
      <c r="L10" s="23">
        <v>1</v>
      </c>
      <c r="M10" s="23">
        <v>842</v>
      </c>
      <c r="N10" s="29">
        <v>1403</v>
      </c>
      <c r="O10" s="23" t="s">
        <v>31</v>
      </c>
      <c r="P10" s="38" t="s">
        <v>33</v>
      </c>
      <c r="Q10" s="38" t="s">
        <v>31</v>
      </c>
      <c r="R10" s="38">
        <v>2</v>
      </c>
      <c r="S10" s="23">
        <v>0</v>
      </c>
      <c r="T10" s="23">
        <v>0</v>
      </c>
      <c r="U10" s="38" t="s">
        <v>33</v>
      </c>
      <c r="V10" s="23">
        <v>3</v>
      </c>
      <c r="W10" s="59" t="s">
        <v>39</v>
      </c>
      <c r="X10" s="60" t="s">
        <v>31</v>
      </c>
      <c r="Y10" s="37" t="s">
        <v>31</v>
      </c>
    </row>
    <row r="11" spans="1:25" x14ac:dyDescent="0.2">
      <c r="A11" s="37" t="s">
        <v>24</v>
      </c>
      <c r="B11" s="38" t="s">
        <v>25</v>
      </c>
      <c r="C11" s="38" t="s">
        <v>26</v>
      </c>
      <c r="D11" s="38" t="s">
        <v>27</v>
      </c>
      <c r="E11" s="38" t="s">
        <v>28</v>
      </c>
      <c r="F11" s="38">
        <v>2023</v>
      </c>
      <c r="G11" s="23" t="s">
        <v>43</v>
      </c>
      <c r="H11" s="23" t="s">
        <v>38</v>
      </c>
      <c r="I11" s="23" t="s">
        <v>31</v>
      </c>
      <c r="J11" s="38" t="s">
        <v>32</v>
      </c>
      <c r="K11" s="23">
        <v>2</v>
      </c>
      <c r="L11" s="23">
        <v>1</v>
      </c>
      <c r="M11" s="23">
        <v>842</v>
      </c>
      <c r="N11" s="29">
        <v>1403</v>
      </c>
      <c r="O11" s="23" t="s">
        <v>31</v>
      </c>
      <c r="P11" s="38" t="s">
        <v>33</v>
      </c>
      <c r="Q11" s="38" t="s">
        <v>31</v>
      </c>
      <c r="R11" s="38">
        <v>2</v>
      </c>
      <c r="S11" s="23">
        <v>0</v>
      </c>
      <c r="T11" s="23">
        <v>0</v>
      </c>
      <c r="U11" s="38" t="s">
        <v>33</v>
      </c>
      <c r="V11" s="23">
        <v>3</v>
      </c>
      <c r="W11" s="59" t="s">
        <v>39</v>
      </c>
      <c r="X11" s="60" t="s">
        <v>31</v>
      </c>
      <c r="Y11" s="37" t="s">
        <v>31</v>
      </c>
    </row>
    <row r="12" spans="1:25" x14ac:dyDescent="0.2">
      <c r="A12" s="37" t="s">
        <v>24</v>
      </c>
      <c r="B12" s="38" t="s">
        <v>25</v>
      </c>
      <c r="C12" s="38" t="s">
        <v>26</v>
      </c>
      <c r="D12" s="38" t="s">
        <v>27</v>
      </c>
      <c r="E12" s="38" t="s">
        <v>28</v>
      </c>
      <c r="F12" s="38">
        <v>2023</v>
      </c>
      <c r="G12" s="23" t="s">
        <v>44</v>
      </c>
      <c r="H12" s="23" t="s">
        <v>45</v>
      </c>
      <c r="I12" s="23" t="s">
        <v>31</v>
      </c>
      <c r="J12" s="38" t="s">
        <v>32</v>
      </c>
      <c r="K12" s="23">
        <v>2</v>
      </c>
      <c r="L12" s="23">
        <v>1</v>
      </c>
      <c r="M12" s="23">
        <v>842</v>
      </c>
      <c r="N12" s="29">
        <v>1403</v>
      </c>
      <c r="O12" s="23" t="s">
        <v>31</v>
      </c>
      <c r="P12" s="38" t="s">
        <v>33</v>
      </c>
      <c r="Q12" s="38" t="s">
        <v>31</v>
      </c>
      <c r="R12" s="38">
        <v>2</v>
      </c>
      <c r="S12" s="23">
        <v>0</v>
      </c>
      <c r="T12" s="23">
        <v>0</v>
      </c>
      <c r="U12" s="38" t="s">
        <v>33</v>
      </c>
      <c r="V12" s="23">
        <v>3</v>
      </c>
      <c r="W12" s="59" t="s">
        <v>34</v>
      </c>
      <c r="X12" s="60" t="s">
        <v>31</v>
      </c>
      <c r="Y12" s="37" t="s">
        <v>31</v>
      </c>
    </row>
    <row r="13" spans="1:25" x14ac:dyDescent="0.2">
      <c r="A13" s="37" t="s">
        <v>24</v>
      </c>
      <c r="B13" s="38" t="s">
        <v>25</v>
      </c>
      <c r="C13" s="38" t="s">
        <v>26</v>
      </c>
      <c r="D13" s="38" t="s">
        <v>27</v>
      </c>
      <c r="E13" s="38" t="s">
        <v>28</v>
      </c>
      <c r="F13" s="38">
        <v>2023</v>
      </c>
      <c r="G13" s="65" t="s">
        <v>46</v>
      </c>
      <c r="H13" s="65" t="s">
        <v>47</v>
      </c>
      <c r="I13" s="23" t="s">
        <v>31</v>
      </c>
      <c r="J13" s="38" t="s">
        <v>32</v>
      </c>
      <c r="K13" s="23">
        <v>2</v>
      </c>
      <c r="L13" s="23">
        <v>1</v>
      </c>
      <c r="M13" s="23">
        <v>842</v>
      </c>
      <c r="N13" s="29">
        <v>1403</v>
      </c>
      <c r="O13" s="23" t="s">
        <v>31</v>
      </c>
      <c r="P13" s="38" t="s">
        <v>33</v>
      </c>
      <c r="Q13" s="38" t="s">
        <v>31</v>
      </c>
      <c r="R13" s="38">
        <v>2</v>
      </c>
      <c r="S13" s="23">
        <v>0</v>
      </c>
      <c r="T13" s="23">
        <v>0</v>
      </c>
      <c r="U13" s="38" t="s">
        <v>33</v>
      </c>
      <c r="V13" s="23">
        <v>3</v>
      </c>
      <c r="W13" s="59" t="s">
        <v>34</v>
      </c>
      <c r="X13" s="60" t="s">
        <v>31</v>
      </c>
      <c r="Y13" s="37" t="s">
        <v>31</v>
      </c>
    </row>
    <row r="14" spans="1:25" x14ac:dyDescent="0.2">
      <c r="A14" s="37" t="s">
        <v>24</v>
      </c>
      <c r="B14" s="38" t="s">
        <v>25</v>
      </c>
      <c r="C14" s="38" t="s">
        <v>26</v>
      </c>
      <c r="D14" s="38" t="s">
        <v>27</v>
      </c>
      <c r="E14" s="38" t="s">
        <v>28</v>
      </c>
      <c r="F14" s="38">
        <v>2023</v>
      </c>
      <c r="G14" s="23" t="s">
        <v>48</v>
      </c>
      <c r="H14" s="23" t="s">
        <v>49</v>
      </c>
      <c r="I14" s="23" t="s">
        <v>31</v>
      </c>
      <c r="J14" s="38" t="s">
        <v>32</v>
      </c>
      <c r="K14" s="23">
        <v>2</v>
      </c>
      <c r="L14" s="23">
        <v>1</v>
      </c>
      <c r="M14" s="23">
        <v>842</v>
      </c>
      <c r="N14" s="29">
        <v>1403</v>
      </c>
      <c r="O14" s="23" t="s">
        <v>31</v>
      </c>
      <c r="P14" s="38" t="s">
        <v>33</v>
      </c>
      <c r="Q14" s="38" t="s">
        <v>31</v>
      </c>
      <c r="R14" s="38">
        <v>2</v>
      </c>
      <c r="S14" s="23">
        <v>0</v>
      </c>
      <c r="T14" s="23">
        <v>0</v>
      </c>
      <c r="U14" s="38" t="s">
        <v>33</v>
      </c>
      <c r="V14" s="23">
        <v>3</v>
      </c>
      <c r="W14" s="59" t="s">
        <v>34</v>
      </c>
      <c r="X14" s="60" t="s">
        <v>31</v>
      </c>
      <c r="Y14" s="37" t="s">
        <v>31</v>
      </c>
    </row>
    <row r="15" spans="1:25" x14ac:dyDescent="0.2">
      <c r="A15" s="37" t="s">
        <v>24</v>
      </c>
      <c r="B15" s="38" t="s">
        <v>25</v>
      </c>
      <c r="C15" s="38" t="s">
        <v>26</v>
      </c>
      <c r="D15" s="38" t="s">
        <v>27</v>
      </c>
      <c r="E15" s="38" t="s">
        <v>28</v>
      </c>
      <c r="F15" s="38">
        <v>2023</v>
      </c>
      <c r="G15" s="23" t="s">
        <v>50</v>
      </c>
      <c r="H15" s="23" t="s">
        <v>51</v>
      </c>
      <c r="I15" s="23" t="s">
        <v>31</v>
      </c>
      <c r="J15" s="38" t="s">
        <v>32</v>
      </c>
      <c r="K15" s="23">
        <v>2</v>
      </c>
      <c r="L15" s="23">
        <v>1</v>
      </c>
      <c r="M15" s="23">
        <v>842</v>
      </c>
      <c r="N15" s="29">
        <v>1403</v>
      </c>
      <c r="O15" s="23" t="s">
        <v>31</v>
      </c>
      <c r="P15" s="38" t="s">
        <v>33</v>
      </c>
      <c r="Q15" s="38" t="s">
        <v>31</v>
      </c>
      <c r="R15" s="38">
        <v>2</v>
      </c>
      <c r="S15" s="23">
        <v>0</v>
      </c>
      <c r="T15" s="23">
        <v>0</v>
      </c>
      <c r="U15" s="38" t="s">
        <v>33</v>
      </c>
      <c r="V15" s="23">
        <v>3</v>
      </c>
      <c r="W15" s="59" t="s">
        <v>34</v>
      </c>
      <c r="X15" s="60" t="s">
        <v>31</v>
      </c>
      <c r="Y15" s="37" t="s">
        <v>31</v>
      </c>
    </row>
    <row r="16" spans="1:25" x14ac:dyDescent="0.2">
      <c r="A16" s="37" t="s">
        <v>24</v>
      </c>
      <c r="B16" s="38" t="s">
        <v>25</v>
      </c>
      <c r="C16" s="38" t="s">
        <v>26</v>
      </c>
      <c r="D16" s="38" t="s">
        <v>27</v>
      </c>
      <c r="E16" s="38" t="s">
        <v>28</v>
      </c>
      <c r="F16" s="38">
        <v>2023</v>
      </c>
      <c r="G16" s="65" t="s">
        <v>52</v>
      </c>
      <c r="H16" s="72" t="s">
        <v>53</v>
      </c>
      <c r="I16" s="23" t="s">
        <v>31</v>
      </c>
      <c r="J16" s="38" t="s">
        <v>32</v>
      </c>
      <c r="K16" s="23">
        <v>2</v>
      </c>
      <c r="L16" s="23">
        <v>1</v>
      </c>
      <c r="M16" s="23">
        <v>842</v>
      </c>
      <c r="N16" s="29">
        <v>1403</v>
      </c>
      <c r="O16" s="23" t="s">
        <v>31</v>
      </c>
      <c r="P16" s="38" t="s">
        <v>33</v>
      </c>
      <c r="Q16" s="38" t="s">
        <v>31</v>
      </c>
      <c r="R16" s="38">
        <v>2</v>
      </c>
      <c r="S16" s="23">
        <v>0</v>
      </c>
      <c r="T16" s="23">
        <v>0</v>
      </c>
      <c r="U16" s="38" t="s">
        <v>33</v>
      </c>
      <c r="V16" s="23">
        <v>3</v>
      </c>
      <c r="W16" s="59" t="s">
        <v>34</v>
      </c>
      <c r="X16" s="60" t="s">
        <v>31</v>
      </c>
      <c r="Y16" s="37" t="s">
        <v>31</v>
      </c>
    </row>
    <row r="17" spans="1:25" x14ac:dyDescent="0.2">
      <c r="A17" s="37" t="s">
        <v>24</v>
      </c>
      <c r="B17" s="38" t="s">
        <v>25</v>
      </c>
      <c r="C17" s="38" t="s">
        <v>26</v>
      </c>
      <c r="D17" s="38" t="s">
        <v>27</v>
      </c>
      <c r="E17" s="38" t="s">
        <v>28</v>
      </c>
      <c r="F17" s="38">
        <v>2023</v>
      </c>
      <c r="G17" s="23" t="s">
        <v>54</v>
      </c>
      <c r="H17" s="23" t="s">
        <v>54</v>
      </c>
      <c r="I17" s="23" t="s">
        <v>31</v>
      </c>
      <c r="J17" s="38" t="s">
        <v>32</v>
      </c>
      <c r="K17" s="23">
        <v>2</v>
      </c>
      <c r="L17" s="23">
        <v>1</v>
      </c>
      <c r="M17" s="23">
        <v>842</v>
      </c>
      <c r="N17" s="29">
        <v>1403</v>
      </c>
      <c r="O17" s="23" t="s">
        <v>31</v>
      </c>
      <c r="P17" s="38" t="s">
        <v>33</v>
      </c>
      <c r="Q17" s="38" t="s">
        <v>31</v>
      </c>
      <c r="R17" s="38">
        <v>2</v>
      </c>
      <c r="S17" s="23">
        <v>0</v>
      </c>
      <c r="T17" s="23">
        <v>0</v>
      </c>
      <c r="U17" s="44" t="s">
        <v>33</v>
      </c>
      <c r="V17" s="24">
        <v>3</v>
      </c>
      <c r="W17" s="59" t="s">
        <v>55</v>
      </c>
      <c r="X17" s="60" t="s">
        <v>31</v>
      </c>
      <c r="Y17" s="37" t="s">
        <v>31</v>
      </c>
    </row>
    <row r="18" spans="1:25" x14ac:dyDescent="0.2">
      <c r="A18" s="37" t="s">
        <v>24</v>
      </c>
      <c r="B18" s="38" t="s">
        <v>25</v>
      </c>
      <c r="C18" s="38" t="s">
        <v>26</v>
      </c>
      <c r="D18" s="38" t="s">
        <v>27</v>
      </c>
      <c r="E18" s="38" t="s">
        <v>28</v>
      </c>
      <c r="F18" s="38">
        <v>2023</v>
      </c>
      <c r="G18" s="23" t="s">
        <v>56</v>
      </c>
      <c r="H18" s="23" t="s">
        <v>57</v>
      </c>
      <c r="I18" s="23" t="s">
        <v>31</v>
      </c>
      <c r="J18" s="38" t="s">
        <v>32</v>
      </c>
      <c r="K18" s="23">
        <v>2</v>
      </c>
      <c r="L18" s="23">
        <v>1</v>
      </c>
      <c r="M18" s="23">
        <v>842</v>
      </c>
      <c r="N18" s="29">
        <v>1403</v>
      </c>
      <c r="O18" s="23" t="s">
        <v>31</v>
      </c>
      <c r="P18" s="38" t="s">
        <v>33</v>
      </c>
      <c r="Q18" s="38" t="s">
        <v>31</v>
      </c>
      <c r="R18" s="38">
        <v>2</v>
      </c>
      <c r="S18" s="23">
        <v>0</v>
      </c>
      <c r="T18" s="23">
        <v>0</v>
      </c>
      <c r="U18" s="44" t="s">
        <v>33</v>
      </c>
      <c r="V18" s="24">
        <v>3</v>
      </c>
      <c r="W18" s="59" t="s">
        <v>55</v>
      </c>
      <c r="X18" s="60" t="s">
        <v>31</v>
      </c>
      <c r="Y18" s="37" t="s">
        <v>31</v>
      </c>
    </row>
    <row r="19" spans="1:25" x14ac:dyDescent="0.2">
      <c r="A19" s="37" t="s">
        <v>24</v>
      </c>
      <c r="B19" s="38" t="s">
        <v>25</v>
      </c>
      <c r="C19" s="38" t="s">
        <v>26</v>
      </c>
      <c r="D19" s="38" t="s">
        <v>27</v>
      </c>
      <c r="E19" s="38" t="s">
        <v>28</v>
      </c>
      <c r="F19" s="38">
        <v>2023</v>
      </c>
      <c r="G19" s="23" t="s">
        <v>58</v>
      </c>
      <c r="H19" s="23" t="s">
        <v>59</v>
      </c>
      <c r="I19" s="23" t="s">
        <v>31</v>
      </c>
      <c r="J19" s="38" t="s">
        <v>32</v>
      </c>
      <c r="K19" s="23">
        <v>2</v>
      </c>
      <c r="L19" s="23">
        <v>1</v>
      </c>
      <c r="M19" s="23">
        <v>842</v>
      </c>
      <c r="N19" s="29">
        <v>1403</v>
      </c>
      <c r="O19" s="23" t="s">
        <v>31</v>
      </c>
      <c r="P19" s="38" t="s">
        <v>33</v>
      </c>
      <c r="Q19" s="38" t="s">
        <v>31</v>
      </c>
      <c r="R19" s="38">
        <v>2</v>
      </c>
      <c r="S19" s="23">
        <v>0</v>
      </c>
      <c r="T19" s="23">
        <v>0</v>
      </c>
      <c r="U19" s="39" t="s">
        <v>33</v>
      </c>
      <c r="V19" s="23">
        <v>3</v>
      </c>
      <c r="W19" s="59" t="s">
        <v>39</v>
      </c>
      <c r="X19" s="60" t="s">
        <v>31</v>
      </c>
      <c r="Y19" s="37" t="s">
        <v>31</v>
      </c>
    </row>
    <row r="20" spans="1:25" x14ac:dyDescent="0.2">
      <c r="A20" s="37" t="s">
        <v>24</v>
      </c>
      <c r="B20" s="38" t="s">
        <v>25</v>
      </c>
      <c r="C20" s="38" t="s">
        <v>26</v>
      </c>
      <c r="D20" s="38" t="s">
        <v>27</v>
      </c>
      <c r="E20" s="38" t="s">
        <v>28</v>
      </c>
      <c r="F20" s="38">
        <v>2023</v>
      </c>
      <c r="G20" s="65" t="s">
        <v>60</v>
      </c>
      <c r="H20" s="65" t="s">
        <v>53</v>
      </c>
      <c r="I20" s="23" t="s">
        <v>31</v>
      </c>
      <c r="J20" s="38" t="s">
        <v>32</v>
      </c>
      <c r="K20" s="23">
        <v>2</v>
      </c>
      <c r="L20" s="23">
        <v>1</v>
      </c>
      <c r="M20" s="23">
        <v>842</v>
      </c>
      <c r="N20" s="29">
        <v>1403</v>
      </c>
      <c r="O20" s="23" t="s">
        <v>31</v>
      </c>
      <c r="P20" s="38" t="s">
        <v>33</v>
      </c>
      <c r="Q20" s="38" t="s">
        <v>31</v>
      </c>
      <c r="R20" s="38">
        <v>2</v>
      </c>
      <c r="S20" s="23">
        <v>0</v>
      </c>
      <c r="T20" s="23">
        <v>0</v>
      </c>
      <c r="U20" s="44" t="s">
        <v>33</v>
      </c>
      <c r="V20" s="24">
        <v>3</v>
      </c>
      <c r="W20" s="59" t="s">
        <v>39</v>
      </c>
      <c r="X20" s="60" t="s">
        <v>31</v>
      </c>
      <c r="Y20" s="37" t="s">
        <v>31</v>
      </c>
    </row>
    <row r="21" spans="1:25" x14ac:dyDescent="0.2">
      <c r="A21" s="37" t="s">
        <v>24</v>
      </c>
      <c r="B21" s="38" t="s">
        <v>25</v>
      </c>
      <c r="C21" s="38" t="s">
        <v>26</v>
      </c>
      <c r="D21" s="38" t="s">
        <v>27</v>
      </c>
      <c r="E21" s="38" t="s">
        <v>28</v>
      </c>
      <c r="F21" s="38">
        <v>2023</v>
      </c>
      <c r="G21" s="23" t="s">
        <v>61</v>
      </c>
      <c r="H21" s="23" t="s">
        <v>62</v>
      </c>
      <c r="I21" s="23" t="s">
        <v>31</v>
      </c>
      <c r="J21" s="38" t="s">
        <v>32</v>
      </c>
      <c r="K21" s="23">
        <v>2</v>
      </c>
      <c r="L21" s="23">
        <v>1</v>
      </c>
      <c r="M21" s="23">
        <v>842</v>
      </c>
      <c r="N21" s="29">
        <v>1403</v>
      </c>
      <c r="O21" s="23" t="s">
        <v>31</v>
      </c>
      <c r="P21" s="38" t="s">
        <v>33</v>
      </c>
      <c r="Q21" s="38" t="s">
        <v>31</v>
      </c>
      <c r="R21" s="38">
        <v>2</v>
      </c>
      <c r="S21" s="23">
        <v>0</v>
      </c>
      <c r="T21" s="23">
        <v>0</v>
      </c>
      <c r="U21" s="44" t="s">
        <v>33</v>
      </c>
      <c r="V21" s="24">
        <v>3</v>
      </c>
      <c r="W21" s="59" t="s">
        <v>34</v>
      </c>
      <c r="X21" s="60" t="s">
        <v>31</v>
      </c>
      <c r="Y21" s="37" t="s">
        <v>31</v>
      </c>
    </row>
    <row r="22" spans="1:25" x14ac:dyDescent="0.2">
      <c r="A22" s="37" t="s">
        <v>24</v>
      </c>
      <c r="B22" s="38" t="s">
        <v>25</v>
      </c>
      <c r="C22" s="38" t="s">
        <v>26</v>
      </c>
      <c r="D22" s="38" t="s">
        <v>27</v>
      </c>
      <c r="E22" s="38" t="s">
        <v>28</v>
      </c>
      <c r="F22" s="38">
        <v>2023</v>
      </c>
      <c r="G22" s="23" t="s">
        <v>63</v>
      </c>
      <c r="H22" s="23" t="s">
        <v>64</v>
      </c>
      <c r="I22" s="23" t="s">
        <v>31</v>
      </c>
      <c r="J22" s="38" t="s">
        <v>32</v>
      </c>
      <c r="K22" s="23">
        <v>2</v>
      </c>
      <c r="L22" s="23">
        <v>1</v>
      </c>
      <c r="M22" s="23">
        <v>842</v>
      </c>
      <c r="N22" s="29">
        <v>1403</v>
      </c>
      <c r="O22" s="23" t="s">
        <v>31</v>
      </c>
      <c r="P22" s="38" t="s">
        <v>33</v>
      </c>
      <c r="Q22" s="38" t="s">
        <v>31</v>
      </c>
      <c r="R22" s="38">
        <v>2</v>
      </c>
      <c r="S22" s="23">
        <v>0</v>
      </c>
      <c r="T22" s="23">
        <v>0</v>
      </c>
      <c r="U22" s="44" t="s">
        <v>33</v>
      </c>
      <c r="V22" s="24">
        <v>3</v>
      </c>
      <c r="W22" s="59" t="s">
        <v>39</v>
      </c>
      <c r="X22" s="60" t="s">
        <v>31</v>
      </c>
      <c r="Y22" s="37" t="s">
        <v>31</v>
      </c>
    </row>
    <row r="23" spans="1:25" x14ac:dyDescent="0.2">
      <c r="A23" s="37" t="s">
        <v>24</v>
      </c>
      <c r="B23" s="38" t="s">
        <v>25</v>
      </c>
      <c r="C23" s="38" t="s">
        <v>26</v>
      </c>
      <c r="D23" s="38" t="s">
        <v>27</v>
      </c>
      <c r="E23" s="38" t="s">
        <v>28</v>
      </c>
      <c r="F23" s="38">
        <v>2023</v>
      </c>
      <c r="G23" s="23" t="s">
        <v>65</v>
      </c>
      <c r="H23" s="23" t="s">
        <v>66</v>
      </c>
      <c r="I23" s="23" t="s">
        <v>31</v>
      </c>
      <c r="J23" s="38" t="s">
        <v>32</v>
      </c>
      <c r="K23" s="23">
        <v>2</v>
      </c>
      <c r="L23" s="23">
        <v>1</v>
      </c>
      <c r="M23" s="23">
        <v>842</v>
      </c>
      <c r="N23" s="29">
        <v>1403</v>
      </c>
      <c r="O23" s="23" t="s">
        <v>31</v>
      </c>
      <c r="P23" s="38" t="s">
        <v>33</v>
      </c>
      <c r="Q23" s="38" t="s">
        <v>31</v>
      </c>
      <c r="R23" s="38">
        <v>2</v>
      </c>
      <c r="S23" s="23">
        <v>0</v>
      </c>
      <c r="T23" s="23">
        <v>0</v>
      </c>
      <c r="U23" s="44" t="s">
        <v>33</v>
      </c>
      <c r="V23" s="24">
        <v>3</v>
      </c>
      <c r="W23" s="59" t="s">
        <v>39</v>
      </c>
      <c r="X23" s="60" t="s">
        <v>31</v>
      </c>
      <c r="Y23" s="37" t="s">
        <v>31</v>
      </c>
    </row>
    <row r="24" spans="1:25" x14ac:dyDescent="0.2">
      <c r="A24" s="37" t="s">
        <v>24</v>
      </c>
      <c r="B24" s="38" t="s">
        <v>25</v>
      </c>
      <c r="C24" s="38" t="s">
        <v>26</v>
      </c>
      <c r="D24" s="38" t="s">
        <v>27</v>
      </c>
      <c r="E24" s="38" t="s">
        <v>28</v>
      </c>
      <c r="F24" s="38">
        <v>2023</v>
      </c>
      <c r="G24" s="23" t="s">
        <v>67</v>
      </c>
      <c r="H24" s="23" t="s">
        <v>66</v>
      </c>
      <c r="I24" s="23" t="s">
        <v>31</v>
      </c>
      <c r="J24" s="38" t="s">
        <v>32</v>
      </c>
      <c r="K24" s="23">
        <v>2</v>
      </c>
      <c r="L24" s="23">
        <v>1</v>
      </c>
      <c r="M24" s="23">
        <v>842</v>
      </c>
      <c r="N24" s="29">
        <v>1403</v>
      </c>
      <c r="O24" s="23" t="s">
        <v>31</v>
      </c>
      <c r="P24" s="38" t="s">
        <v>33</v>
      </c>
      <c r="Q24" s="38" t="s">
        <v>31</v>
      </c>
      <c r="R24" s="38">
        <v>2</v>
      </c>
      <c r="S24" s="23">
        <v>0</v>
      </c>
      <c r="T24" s="23">
        <v>0</v>
      </c>
      <c r="U24" s="44" t="s">
        <v>33</v>
      </c>
      <c r="V24" s="24">
        <v>3</v>
      </c>
      <c r="W24" s="59" t="s">
        <v>39</v>
      </c>
      <c r="X24" s="60" t="s">
        <v>31</v>
      </c>
      <c r="Y24" s="37" t="s">
        <v>31</v>
      </c>
    </row>
    <row r="25" spans="1:25" x14ac:dyDescent="0.2">
      <c r="A25" s="37" t="s">
        <v>24</v>
      </c>
      <c r="B25" s="38" t="s">
        <v>25</v>
      </c>
      <c r="C25" s="38" t="s">
        <v>26</v>
      </c>
      <c r="D25" s="38" t="s">
        <v>27</v>
      </c>
      <c r="E25" s="38" t="s">
        <v>28</v>
      </c>
      <c r="F25" s="38">
        <v>2023</v>
      </c>
      <c r="G25" s="23" t="s">
        <v>68</v>
      </c>
      <c r="H25" s="23" t="s">
        <v>66</v>
      </c>
      <c r="I25" s="23" t="s">
        <v>31</v>
      </c>
      <c r="J25" s="38" t="s">
        <v>32</v>
      </c>
      <c r="K25" s="23">
        <v>2</v>
      </c>
      <c r="L25" s="23">
        <v>1</v>
      </c>
      <c r="M25" s="23">
        <v>842</v>
      </c>
      <c r="N25" s="29">
        <v>1403</v>
      </c>
      <c r="O25" s="23" t="s">
        <v>31</v>
      </c>
      <c r="P25" s="38" t="s">
        <v>33</v>
      </c>
      <c r="Q25" s="38" t="s">
        <v>31</v>
      </c>
      <c r="R25" s="38">
        <v>2</v>
      </c>
      <c r="S25" s="23">
        <v>0</v>
      </c>
      <c r="T25" s="23">
        <v>0</v>
      </c>
      <c r="U25" s="44" t="s">
        <v>33</v>
      </c>
      <c r="V25" s="24">
        <v>3</v>
      </c>
      <c r="W25" s="59" t="s">
        <v>39</v>
      </c>
      <c r="X25" s="60" t="s">
        <v>31</v>
      </c>
      <c r="Y25" s="37" t="s">
        <v>31</v>
      </c>
    </row>
    <row r="26" spans="1:25" x14ac:dyDescent="0.2">
      <c r="A26" s="37" t="s">
        <v>24</v>
      </c>
      <c r="B26" s="38" t="s">
        <v>25</v>
      </c>
      <c r="C26" s="38" t="s">
        <v>26</v>
      </c>
      <c r="D26" s="38" t="s">
        <v>27</v>
      </c>
      <c r="E26" s="38" t="s">
        <v>28</v>
      </c>
      <c r="F26" s="38">
        <v>2023</v>
      </c>
      <c r="G26" s="65" t="s">
        <v>69</v>
      </c>
      <c r="H26" s="65" t="s">
        <v>53</v>
      </c>
      <c r="I26" s="23" t="s">
        <v>31</v>
      </c>
      <c r="J26" s="38" t="s">
        <v>32</v>
      </c>
      <c r="K26" s="23">
        <v>2</v>
      </c>
      <c r="L26" s="23">
        <v>1</v>
      </c>
      <c r="M26" s="23">
        <v>842</v>
      </c>
      <c r="N26" s="29">
        <v>1403</v>
      </c>
      <c r="O26" s="23" t="s">
        <v>31</v>
      </c>
      <c r="P26" s="38" t="s">
        <v>33</v>
      </c>
      <c r="Q26" s="38" t="s">
        <v>31</v>
      </c>
      <c r="R26" s="38">
        <v>2</v>
      </c>
      <c r="S26" s="23">
        <v>0</v>
      </c>
      <c r="T26" s="23">
        <v>0</v>
      </c>
      <c r="U26" s="44" t="s">
        <v>33</v>
      </c>
      <c r="V26" s="24">
        <v>3</v>
      </c>
      <c r="W26" s="59" t="s">
        <v>34</v>
      </c>
      <c r="X26" s="60" t="s">
        <v>31</v>
      </c>
      <c r="Y26" s="37" t="s">
        <v>31</v>
      </c>
    </row>
    <row r="27" spans="1:25" x14ac:dyDescent="0.2">
      <c r="A27" s="37" t="s">
        <v>24</v>
      </c>
      <c r="B27" s="38" t="s">
        <v>25</v>
      </c>
      <c r="C27" s="38" t="s">
        <v>26</v>
      </c>
      <c r="D27" s="38" t="s">
        <v>27</v>
      </c>
      <c r="E27" s="38" t="s">
        <v>28</v>
      </c>
      <c r="F27" s="38">
        <v>2023</v>
      </c>
      <c r="G27" s="23" t="s">
        <v>70</v>
      </c>
      <c r="H27" s="23" t="s">
        <v>57</v>
      </c>
      <c r="I27" s="23" t="s">
        <v>31</v>
      </c>
      <c r="J27" s="38" t="s">
        <v>32</v>
      </c>
      <c r="K27" s="23">
        <v>2</v>
      </c>
      <c r="L27" s="23">
        <v>1</v>
      </c>
      <c r="M27" s="23">
        <v>842</v>
      </c>
      <c r="N27" s="29">
        <v>1403</v>
      </c>
      <c r="O27" s="23" t="s">
        <v>31</v>
      </c>
      <c r="P27" s="38" t="s">
        <v>33</v>
      </c>
      <c r="Q27" s="38" t="s">
        <v>31</v>
      </c>
      <c r="R27" s="38">
        <v>2</v>
      </c>
      <c r="S27" s="23">
        <v>0</v>
      </c>
      <c r="T27" s="23">
        <v>0</v>
      </c>
      <c r="U27" s="44" t="s">
        <v>33</v>
      </c>
      <c r="V27" s="24">
        <v>3</v>
      </c>
      <c r="W27" s="59" t="s">
        <v>34</v>
      </c>
      <c r="X27" s="60" t="s">
        <v>31</v>
      </c>
      <c r="Y27" s="37" t="s">
        <v>31</v>
      </c>
    </row>
    <row r="28" spans="1:25" x14ac:dyDescent="0.2">
      <c r="A28" s="37" t="s">
        <v>24</v>
      </c>
      <c r="B28" s="38" t="s">
        <v>25</v>
      </c>
      <c r="C28" s="38" t="s">
        <v>26</v>
      </c>
      <c r="D28" s="38" t="s">
        <v>27</v>
      </c>
      <c r="E28" s="38" t="s">
        <v>28</v>
      </c>
      <c r="F28" s="38">
        <v>2023</v>
      </c>
      <c r="G28" s="23" t="s">
        <v>71</v>
      </c>
      <c r="H28" s="23" t="s">
        <v>57</v>
      </c>
      <c r="I28" s="23" t="s">
        <v>31</v>
      </c>
      <c r="J28" s="38" t="s">
        <v>32</v>
      </c>
      <c r="K28" s="23">
        <v>2</v>
      </c>
      <c r="L28" s="23">
        <v>1</v>
      </c>
      <c r="M28" s="23">
        <v>842</v>
      </c>
      <c r="N28" s="29">
        <v>1403</v>
      </c>
      <c r="O28" s="23" t="s">
        <v>31</v>
      </c>
      <c r="P28" s="38" t="s">
        <v>33</v>
      </c>
      <c r="Q28" s="38" t="s">
        <v>31</v>
      </c>
      <c r="R28" s="38">
        <v>2</v>
      </c>
      <c r="S28" s="23">
        <v>0</v>
      </c>
      <c r="T28" s="23">
        <v>0</v>
      </c>
      <c r="U28" s="44" t="s">
        <v>33</v>
      </c>
      <c r="V28" s="24">
        <v>3</v>
      </c>
      <c r="W28" s="59" t="s">
        <v>34</v>
      </c>
      <c r="X28" s="60" t="s">
        <v>31</v>
      </c>
      <c r="Y28" s="37" t="s">
        <v>31</v>
      </c>
    </row>
    <row r="29" spans="1:25" x14ac:dyDescent="0.2">
      <c r="A29" s="37" t="s">
        <v>24</v>
      </c>
      <c r="B29" s="38" t="s">
        <v>25</v>
      </c>
      <c r="C29" s="38" t="s">
        <v>26</v>
      </c>
      <c r="D29" s="38" t="s">
        <v>27</v>
      </c>
      <c r="E29" s="38" t="s">
        <v>28</v>
      </c>
      <c r="F29" s="38">
        <v>2023</v>
      </c>
      <c r="G29" s="23" t="s">
        <v>72</v>
      </c>
      <c r="H29" s="23" t="s">
        <v>66</v>
      </c>
      <c r="I29" s="23" t="s">
        <v>31</v>
      </c>
      <c r="J29" s="38" t="s">
        <v>32</v>
      </c>
      <c r="K29" s="23">
        <v>2</v>
      </c>
      <c r="L29" s="23">
        <v>1</v>
      </c>
      <c r="M29" s="23">
        <v>842</v>
      </c>
      <c r="N29" s="29">
        <v>1403</v>
      </c>
      <c r="O29" s="23" t="s">
        <v>31</v>
      </c>
      <c r="P29" s="38" t="s">
        <v>33</v>
      </c>
      <c r="Q29" s="38" t="s">
        <v>31</v>
      </c>
      <c r="R29" s="38">
        <v>2</v>
      </c>
      <c r="S29" s="23">
        <v>0</v>
      </c>
      <c r="T29" s="23">
        <v>0</v>
      </c>
      <c r="U29" s="44" t="s">
        <v>33</v>
      </c>
      <c r="V29" s="24">
        <v>3</v>
      </c>
      <c r="W29" s="59" t="s">
        <v>34</v>
      </c>
      <c r="X29" s="60" t="s">
        <v>31</v>
      </c>
      <c r="Y29" s="37" t="s">
        <v>31</v>
      </c>
    </row>
    <row r="30" spans="1:25" x14ac:dyDescent="0.2">
      <c r="A30" s="37" t="s">
        <v>24</v>
      </c>
      <c r="B30" s="38" t="s">
        <v>25</v>
      </c>
      <c r="C30" s="38" t="s">
        <v>26</v>
      </c>
      <c r="D30" s="38" t="s">
        <v>27</v>
      </c>
      <c r="E30" s="38" t="s">
        <v>28</v>
      </c>
      <c r="F30" s="38">
        <v>2023</v>
      </c>
      <c r="G30" s="23" t="s">
        <v>73</v>
      </c>
      <c r="H30" s="23" t="s">
        <v>73</v>
      </c>
      <c r="I30" s="23" t="s">
        <v>31</v>
      </c>
      <c r="J30" s="38" t="s">
        <v>32</v>
      </c>
      <c r="K30" s="23">
        <v>2</v>
      </c>
      <c r="L30" s="23">
        <v>1</v>
      </c>
      <c r="M30" s="23">
        <v>842</v>
      </c>
      <c r="N30" s="29">
        <v>1403</v>
      </c>
      <c r="O30" s="23" t="s">
        <v>31</v>
      </c>
      <c r="P30" s="38" t="s">
        <v>33</v>
      </c>
      <c r="Q30" s="38" t="s">
        <v>31</v>
      </c>
      <c r="R30" s="38">
        <v>2</v>
      </c>
      <c r="S30" s="23">
        <v>0</v>
      </c>
      <c r="T30" s="23">
        <v>0</v>
      </c>
      <c r="U30" s="39" t="s">
        <v>33</v>
      </c>
      <c r="V30" s="23">
        <v>3</v>
      </c>
      <c r="W30" s="59" t="s">
        <v>55</v>
      </c>
      <c r="X30" s="60" t="s">
        <v>31</v>
      </c>
      <c r="Y30" s="37" t="s">
        <v>31</v>
      </c>
    </row>
    <row r="31" spans="1:25" x14ac:dyDescent="0.2">
      <c r="A31" s="37" t="s">
        <v>24</v>
      </c>
      <c r="B31" s="38" t="s">
        <v>25</v>
      </c>
      <c r="C31" s="38" t="s">
        <v>26</v>
      </c>
      <c r="D31" s="38" t="s">
        <v>27</v>
      </c>
      <c r="E31" s="38" t="s">
        <v>28</v>
      </c>
      <c r="F31" s="38">
        <v>2023</v>
      </c>
      <c r="G31" s="23" t="s">
        <v>74</v>
      </c>
      <c r="H31" s="23" t="s">
        <v>75</v>
      </c>
      <c r="I31" s="23" t="s">
        <v>31</v>
      </c>
      <c r="J31" s="38" t="s">
        <v>32</v>
      </c>
      <c r="K31" s="23">
        <v>2</v>
      </c>
      <c r="L31" s="23">
        <v>1</v>
      </c>
      <c r="M31" s="23">
        <v>842</v>
      </c>
      <c r="N31" s="29">
        <v>1403</v>
      </c>
      <c r="O31" s="23" t="s">
        <v>31</v>
      </c>
      <c r="P31" s="38" t="s">
        <v>33</v>
      </c>
      <c r="Q31" s="38" t="s">
        <v>31</v>
      </c>
      <c r="R31" s="38">
        <v>2</v>
      </c>
      <c r="S31" s="23">
        <v>0</v>
      </c>
      <c r="T31" s="23">
        <v>0</v>
      </c>
      <c r="U31" s="44" t="s">
        <v>33</v>
      </c>
      <c r="V31" s="24">
        <v>3</v>
      </c>
      <c r="W31" s="59" t="s">
        <v>55</v>
      </c>
      <c r="X31" s="60" t="s">
        <v>31</v>
      </c>
      <c r="Y31" s="37" t="s">
        <v>31</v>
      </c>
    </row>
    <row r="32" spans="1:25" x14ac:dyDescent="0.2">
      <c r="A32" s="37" t="s">
        <v>24</v>
      </c>
      <c r="B32" s="38" t="s">
        <v>25</v>
      </c>
      <c r="C32" s="38" t="s">
        <v>26</v>
      </c>
      <c r="D32" s="38" t="s">
        <v>27</v>
      </c>
      <c r="E32" s="38" t="s">
        <v>28</v>
      </c>
      <c r="F32" s="38">
        <v>2023</v>
      </c>
      <c r="G32" s="23" t="s">
        <v>76</v>
      </c>
      <c r="H32" s="23" t="s">
        <v>76</v>
      </c>
      <c r="I32" s="23" t="s">
        <v>31</v>
      </c>
      <c r="J32" s="38" t="s">
        <v>32</v>
      </c>
      <c r="K32" s="23">
        <v>2</v>
      </c>
      <c r="L32" s="23">
        <v>1</v>
      </c>
      <c r="M32" s="23">
        <v>842</v>
      </c>
      <c r="N32" s="29">
        <v>1403</v>
      </c>
      <c r="O32" s="23" t="s">
        <v>31</v>
      </c>
      <c r="P32" s="38" t="s">
        <v>33</v>
      </c>
      <c r="Q32" s="38" t="s">
        <v>31</v>
      </c>
      <c r="R32" s="38">
        <v>2</v>
      </c>
      <c r="S32" s="23">
        <v>0</v>
      </c>
      <c r="T32" s="23">
        <v>0</v>
      </c>
      <c r="U32" s="44" t="s">
        <v>33</v>
      </c>
      <c r="V32" s="24">
        <v>3</v>
      </c>
      <c r="W32" s="59" t="s">
        <v>55</v>
      </c>
      <c r="X32" s="60" t="s">
        <v>31</v>
      </c>
      <c r="Y32" s="37" t="s">
        <v>31</v>
      </c>
    </row>
    <row r="33" spans="1:25" x14ac:dyDescent="0.2">
      <c r="A33" s="37" t="s">
        <v>24</v>
      </c>
      <c r="B33" s="38" t="s">
        <v>25</v>
      </c>
      <c r="C33" s="38" t="s">
        <v>26</v>
      </c>
      <c r="D33" s="38" t="s">
        <v>27</v>
      </c>
      <c r="E33" s="38" t="s">
        <v>28</v>
      </c>
      <c r="F33" s="38">
        <v>2023</v>
      </c>
      <c r="G33" s="23" t="s">
        <v>77</v>
      </c>
      <c r="H33" s="23" t="s">
        <v>53</v>
      </c>
      <c r="I33" s="23" t="s">
        <v>31</v>
      </c>
      <c r="J33" s="38" t="s">
        <v>32</v>
      </c>
      <c r="K33" s="23">
        <v>2</v>
      </c>
      <c r="L33" s="23">
        <v>1</v>
      </c>
      <c r="M33" s="23">
        <v>842</v>
      </c>
      <c r="N33" s="29">
        <v>1403</v>
      </c>
      <c r="O33" s="23" t="s">
        <v>31</v>
      </c>
      <c r="P33" s="38" t="s">
        <v>33</v>
      </c>
      <c r="Q33" s="38" t="s">
        <v>31</v>
      </c>
      <c r="R33" s="38">
        <v>2</v>
      </c>
      <c r="S33" s="23">
        <v>0</v>
      </c>
      <c r="T33" s="23">
        <v>0</v>
      </c>
      <c r="U33" s="44" t="s">
        <v>33</v>
      </c>
      <c r="V33" s="24">
        <v>3</v>
      </c>
      <c r="W33" s="59" t="s">
        <v>34</v>
      </c>
      <c r="X33" s="60" t="s">
        <v>31</v>
      </c>
      <c r="Y33" s="37" t="s">
        <v>31</v>
      </c>
    </row>
    <row r="34" spans="1:25" x14ac:dyDescent="0.2">
      <c r="A34" s="37" t="s">
        <v>24</v>
      </c>
      <c r="B34" s="38" t="s">
        <v>25</v>
      </c>
      <c r="C34" s="38" t="s">
        <v>26</v>
      </c>
      <c r="D34" s="38" t="s">
        <v>27</v>
      </c>
      <c r="E34" s="38" t="s">
        <v>28</v>
      </c>
      <c r="F34" s="38">
        <v>2023</v>
      </c>
      <c r="G34" s="23" t="s">
        <v>77</v>
      </c>
      <c r="H34" s="23" t="s">
        <v>53</v>
      </c>
      <c r="I34" s="23" t="s">
        <v>31</v>
      </c>
      <c r="J34" s="38" t="s">
        <v>32</v>
      </c>
      <c r="K34" s="23">
        <v>2</v>
      </c>
      <c r="L34" s="23">
        <v>1</v>
      </c>
      <c r="M34" s="23">
        <v>842</v>
      </c>
      <c r="N34" s="29">
        <v>1403</v>
      </c>
      <c r="O34" s="23" t="s">
        <v>31</v>
      </c>
      <c r="P34" s="38" t="s">
        <v>33</v>
      </c>
      <c r="Q34" s="38" t="s">
        <v>31</v>
      </c>
      <c r="R34" s="38">
        <v>2</v>
      </c>
      <c r="S34" s="23">
        <v>0</v>
      </c>
      <c r="T34" s="23">
        <v>0</v>
      </c>
      <c r="U34" s="44" t="s">
        <v>33</v>
      </c>
      <c r="V34" s="24">
        <v>3</v>
      </c>
      <c r="W34" s="59" t="s">
        <v>34</v>
      </c>
      <c r="X34" s="60" t="s">
        <v>31</v>
      </c>
      <c r="Y34" s="37" t="s">
        <v>31</v>
      </c>
    </row>
    <row r="35" spans="1:25" x14ac:dyDescent="0.2">
      <c r="A35" s="37" t="s">
        <v>78</v>
      </c>
      <c r="B35" s="38" t="s">
        <v>25</v>
      </c>
      <c r="C35" s="38" t="s">
        <v>26</v>
      </c>
      <c r="D35" s="38" t="s">
        <v>27</v>
      </c>
      <c r="E35" s="38" t="s">
        <v>79</v>
      </c>
      <c r="F35" s="38">
        <v>2023</v>
      </c>
      <c r="G35" s="23" t="s">
        <v>80</v>
      </c>
      <c r="H35" s="23" t="s">
        <v>66</v>
      </c>
      <c r="I35" s="23" t="s">
        <v>31</v>
      </c>
      <c r="J35" s="38" t="s">
        <v>32</v>
      </c>
      <c r="K35" s="23">
        <v>1</v>
      </c>
      <c r="L35" s="23">
        <v>4</v>
      </c>
      <c r="M35" s="29">
        <v>2267</v>
      </c>
      <c r="N35" s="29">
        <v>2267</v>
      </c>
      <c r="O35" s="23" t="s">
        <v>31</v>
      </c>
      <c r="P35" s="38" t="s">
        <v>33</v>
      </c>
      <c r="Q35" s="38" t="s">
        <v>31</v>
      </c>
      <c r="R35" s="38">
        <v>8</v>
      </c>
      <c r="S35" s="23">
        <v>0</v>
      </c>
      <c r="T35" s="23">
        <v>0</v>
      </c>
      <c r="U35" s="44" t="s">
        <v>33</v>
      </c>
      <c r="V35" s="24">
        <v>1.5</v>
      </c>
      <c r="W35" s="59" t="s">
        <v>39</v>
      </c>
      <c r="X35" s="60" t="s">
        <v>31</v>
      </c>
      <c r="Y35" s="37" t="s">
        <v>31</v>
      </c>
    </row>
    <row r="36" spans="1:25" x14ac:dyDescent="0.2">
      <c r="A36" s="37" t="s">
        <v>78</v>
      </c>
      <c r="B36" s="38" t="s">
        <v>25</v>
      </c>
      <c r="C36" s="38" t="s">
        <v>26</v>
      </c>
      <c r="D36" s="38" t="s">
        <v>27</v>
      </c>
      <c r="E36" s="38" t="s">
        <v>79</v>
      </c>
      <c r="F36" s="38">
        <v>2023</v>
      </c>
      <c r="G36" s="23" t="s">
        <v>29</v>
      </c>
      <c r="H36" s="23" t="s">
        <v>81</v>
      </c>
      <c r="I36" s="23" t="s">
        <v>31</v>
      </c>
      <c r="J36" s="38" t="s">
        <v>32</v>
      </c>
      <c r="K36" s="23">
        <v>1</v>
      </c>
      <c r="L36" s="23">
        <v>4</v>
      </c>
      <c r="M36" s="29">
        <v>2267</v>
      </c>
      <c r="N36" s="29">
        <v>2267</v>
      </c>
      <c r="O36" s="23" t="s">
        <v>31</v>
      </c>
      <c r="P36" s="38" t="s">
        <v>33</v>
      </c>
      <c r="Q36" s="38" t="s">
        <v>31</v>
      </c>
      <c r="R36" s="38">
        <v>8</v>
      </c>
      <c r="S36" s="23">
        <v>0</v>
      </c>
      <c r="T36" s="23">
        <v>0</v>
      </c>
      <c r="U36" s="44" t="s">
        <v>33</v>
      </c>
      <c r="V36" s="24">
        <v>1.5</v>
      </c>
      <c r="W36" s="59" t="s">
        <v>34</v>
      </c>
      <c r="X36" s="60" t="s">
        <v>31</v>
      </c>
      <c r="Y36" s="37" t="s">
        <v>31</v>
      </c>
    </row>
    <row r="37" spans="1:25" x14ac:dyDescent="0.2">
      <c r="A37" s="37" t="s">
        <v>78</v>
      </c>
      <c r="B37" s="38" t="s">
        <v>25</v>
      </c>
      <c r="C37" s="38" t="s">
        <v>26</v>
      </c>
      <c r="D37" s="38" t="s">
        <v>27</v>
      </c>
      <c r="E37" s="38" t="s">
        <v>79</v>
      </c>
      <c r="F37" s="38">
        <v>2023</v>
      </c>
      <c r="G37" s="23" t="s">
        <v>29</v>
      </c>
      <c r="H37" s="23" t="s">
        <v>82</v>
      </c>
      <c r="I37" s="23" t="s">
        <v>31</v>
      </c>
      <c r="J37" s="38" t="s">
        <v>32</v>
      </c>
      <c r="K37" s="23">
        <v>1</v>
      </c>
      <c r="L37" s="23">
        <v>4</v>
      </c>
      <c r="M37" s="29">
        <v>2267</v>
      </c>
      <c r="N37" s="29">
        <v>2267</v>
      </c>
      <c r="O37" s="23" t="s">
        <v>31</v>
      </c>
      <c r="P37" s="38" t="s">
        <v>33</v>
      </c>
      <c r="Q37" s="38" t="s">
        <v>31</v>
      </c>
      <c r="R37" s="38">
        <v>8</v>
      </c>
      <c r="S37" s="23">
        <v>0</v>
      </c>
      <c r="T37" s="23">
        <v>0</v>
      </c>
      <c r="U37" s="44" t="s">
        <v>33</v>
      </c>
      <c r="V37" s="24">
        <v>1.5</v>
      </c>
      <c r="W37" s="59" t="s">
        <v>34</v>
      </c>
      <c r="X37" s="60" t="s">
        <v>31</v>
      </c>
      <c r="Y37" s="37" t="s">
        <v>31</v>
      </c>
    </row>
    <row r="38" spans="1:25" x14ac:dyDescent="0.2">
      <c r="A38" s="37" t="s">
        <v>78</v>
      </c>
      <c r="B38" s="38" t="s">
        <v>25</v>
      </c>
      <c r="C38" s="38" t="s">
        <v>26</v>
      </c>
      <c r="D38" s="38" t="s">
        <v>27</v>
      </c>
      <c r="E38" s="38" t="s">
        <v>79</v>
      </c>
      <c r="F38" s="38">
        <v>2023</v>
      </c>
      <c r="G38" s="23" t="s">
        <v>61</v>
      </c>
      <c r="H38" s="23" t="s">
        <v>62</v>
      </c>
      <c r="I38" s="23" t="s">
        <v>31</v>
      </c>
      <c r="J38" s="38" t="s">
        <v>32</v>
      </c>
      <c r="K38" s="23">
        <v>1</v>
      </c>
      <c r="L38" s="23">
        <v>4</v>
      </c>
      <c r="M38" s="29">
        <v>2267</v>
      </c>
      <c r="N38" s="29">
        <v>2267</v>
      </c>
      <c r="O38" s="23" t="s">
        <v>31</v>
      </c>
      <c r="P38" s="38" t="s">
        <v>33</v>
      </c>
      <c r="Q38" s="38" t="s">
        <v>31</v>
      </c>
      <c r="R38" s="38">
        <v>8</v>
      </c>
      <c r="S38" s="23">
        <v>0</v>
      </c>
      <c r="T38" s="23">
        <v>0</v>
      </c>
      <c r="U38" s="44" t="s">
        <v>33</v>
      </c>
      <c r="V38" s="24">
        <v>1.5</v>
      </c>
      <c r="W38" s="59" t="s">
        <v>34</v>
      </c>
      <c r="X38" s="60" t="s">
        <v>31</v>
      </c>
      <c r="Y38" s="37" t="s">
        <v>31</v>
      </c>
    </row>
    <row r="39" spans="1:25" x14ac:dyDescent="0.2">
      <c r="A39" s="37" t="s">
        <v>78</v>
      </c>
      <c r="B39" s="38" t="s">
        <v>25</v>
      </c>
      <c r="C39" s="38" t="s">
        <v>26</v>
      </c>
      <c r="D39" s="38" t="s">
        <v>27</v>
      </c>
      <c r="E39" s="38" t="s">
        <v>79</v>
      </c>
      <c r="F39" s="38">
        <v>2023</v>
      </c>
      <c r="G39" s="23" t="s">
        <v>83</v>
      </c>
      <c r="H39" s="23" t="s">
        <v>57</v>
      </c>
      <c r="I39" s="23" t="s">
        <v>31</v>
      </c>
      <c r="J39" s="38" t="s">
        <v>32</v>
      </c>
      <c r="K39" s="23">
        <v>1</v>
      </c>
      <c r="L39" s="23">
        <v>4</v>
      </c>
      <c r="M39" s="29">
        <v>2267</v>
      </c>
      <c r="N39" s="29">
        <v>2267</v>
      </c>
      <c r="O39" s="23" t="s">
        <v>31</v>
      </c>
      <c r="P39" s="38" t="s">
        <v>33</v>
      </c>
      <c r="Q39" s="38" t="s">
        <v>31</v>
      </c>
      <c r="R39" s="38">
        <v>8</v>
      </c>
      <c r="S39" s="23">
        <v>0</v>
      </c>
      <c r="T39" s="23">
        <v>0</v>
      </c>
      <c r="U39" s="44" t="s">
        <v>33</v>
      </c>
      <c r="V39" s="24">
        <v>1.5</v>
      </c>
      <c r="W39" s="59" t="s">
        <v>34</v>
      </c>
      <c r="X39" s="60" t="s">
        <v>31</v>
      </c>
      <c r="Y39" s="37" t="s">
        <v>31</v>
      </c>
    </row>
    <row r="40" spans="1:25" x14ac:dyDescent="0.2">
      <c r="A40" s="37" t="s">
        <v>78</v>
      </c>
      <c r="B40" s="38" t="s">
        <v>25</v>
      </c>
      <c r="C40" s="38" t="s">
        <v>26</v>
      </c>
      <c r="D40" s="38" t="s">
        <v>27</v>
      </c>
      <c r="E40" s="38" t="s">
        <v>79</v>
      </c>
      <c r="F40" s="38">
        <v>2023</v>
      </c>
      <c r="G40" s="23" t="s">
        <v>84</v>
      </c>
      <c r="H40" s="23" t="s">
        <v>49</v>
      </c>
      <c r="I40" s="23" t="s">
        <v>31</v>
      </c>
      <c r="J40" s="38" t="s">
        <v>32</v>
      </c>
      <c r="K40" s="23">
        <v>1</v>
      </c>
      <c r="L40" s="23">
        <v>4</v>
      </c>
      <c r="M40" s="29">
        <v>2267</v>
      </c>
      <c r="N40" s="29">
        <v>2267</v>
      </c>
      <c r="O40" s="23" t="s">
        <v>31</v>
      </c>
      <c r="P40" s="38" t="s">
        <v>33</v>
      </c>
      <c r="Q40" s="38" t="s">
        <v>31</v>
      </c>
      <c r="R40" s="38">
        <v>8</v>
      </c>
      <c r="S40" s="23">
        <v>0</v>
      </c>
      <c r="T40" s="23">
        <v>0</v>
      </c>
      <c r="U40" s="44" t="s">
        <v>33</v>
      </c>
      <c r="V40" s="24">
        <v>1.5</v>
      </c>
      <c r="W40" s="59" t="s">
        <v>34</v>
      </c>
      <c r="X40" s="60" t="s">
        <v>31</v>
      </c>
      <c r="Y40" s="37" t="s">
        <v>31</v>
      </c>
    </row>
    <row r="41" spans="1:25" x14ac:dyDescent="0.2">
      <c r="A41" s="37" t="s">
        <v>78</v>
      </c>
      <c r="B41" s="38" t="s">
        <v>25</v>
      </c>
      <c r="C41" s="38" t="s">
        <v>26</v>
      </c>
      <c r="D41" s="38" t="s">
        <v>27</v>
      </c>
      <c r="E41" s="38" t="s">
        <v>79</v>
      </c>
      <c r="F41" s="38">
        <v>2023</v>
      </c>
      <c r="G41" s="65" t="s">
        <v>60</v>
      </c>
      <c r="H41" s="65" t="s">
        <v>53</v>
      </c>
      <c r="I41" s="23" t="s">
        <v>31</v>
      </c>
      <c r="J41" s="38" t="s">
        <v>32</v>
      </c>
      <c r="K41" s="23">
        <v>1</v>
      </c>
      <c r="L41" s="23">
        <v>4</v>
      </c>
      <c r="M41" s="29">
        <v>2267</v>
      </c>
      <c r="N41" s="29">
        <v>2267</v>
      </c>
      <c r="O41" s="23" t="s">
        <v>31</v>
      </c>
      <c r="P41" s="38" t="s">
        <v>33</v>
      </c>
      <c r="Q41" s="38" t="s">
        <v>31</v>
      </c>
      <c r="R41" s="38">
        <v>8</v>
      </c>
      <c r="S41" s="23">
        <v>0</v>
      </c>
      <c r="T41" s="23">
        <v>0</v>
      </c>
      <c r="U41" s="44" t="s">
        <v>33</v>
      </c>
      <c r="V41" s="24">
        <v>1.5</v>
      </c>
      <c r="W41" s="59" t="s">
        <v>34</v>
      </c>
      <c r="X41" s="60" t="s">
        <v>31</v>
      </c>
      <c r="Y41" s="37" t="s">
        <v>31</v>
      </c>
    </row>
    <row r="42" spans="1:25" x14ac:dyDescent="0.2">
      <c r="A42" s="37" t="s">
        <v>78</v>
      </c>
      <c r="B42" s="38" t="s">
        <v>25</v>
      </c>
      <c r="C42" s="38" t="s">
        <v>26</v>
      </c>
      <c r="D42" s="38" t="s">
        <v>27</v>
      </c>
      <c r="E42" s="38" t="s">
        <v>79</v>
      </c>
      <c r="F42" s="38">
        <v>2023</v>
      </c>
      <c r="G42" s="23" t="s">
        <v>56</v>
      </c>
      <c r="H42" s="23" t="s">
        <v>57</v>
      </c>
      <c r="I42" s="23" t="s">
        <v>31</v>
      </c>
      <c r="J42" s="38" t="s">
        <v>32</v>
      </c>
      <c r="K42" s="23">
        <v>1</v>
      </c>
      <c r="L42" s="23">
        <v>4</v>
      </c>
      <c r="M42" s="29">
        <v>2267</v>
      </c>
      <c r="N42" s="29">
        <v>2267</v>
      </c>
      <c r="O42" s="23" t="s">
        <v>31</v>
      </c>
      <c r="P42" s="38" t="s">
        <v>33</v>
      </c>
      <c r="Q42" s="38" t="s">
        <v>31</v>
      </c>
      <c r="R42" s="38">
        <v>8</v>
      </c>
      <c r="S42" s="23">
        <v>0</v>
      </c>
      <c r="T42" s="23">
        <v>0</v>
      </c>
      <c r="U42" s="44" t="s">
        <v>33</v>
      </c>
      <c r="V42" s="24">
        <v>1.5</v>
      </c>
      <c r="W42" s="59" t="s">
        <v>34</v>
      </c>
      <c r="X42" s="60" t="s">
        <v>31</v>
      </c>
      <c r="Y42" s="37" t="s">
        <v>31</v>
      </c>
    </row>
    <row r="43" spans="1:25" x14ac:dyDescent="0.2">
      <c r="A43" s="37" t="s">
        <v>78</v>
      </c>
      <c r="B43" s="38" t="s">
        <v>25</v>
      </c>
      <c r="C43" s="38" t="s">
        <v>26</v>
      </c>
      <c r="D43" s="38" t="s">
        <v>27</v>
      </c>
      <c r="E43" s="38" t="s">
        <v>79</v>
      </c>
      <c r="F43" s="38">
        <v>2023</v>
      </c>
      <c r="G43" s="23" t="s">
        <v>85</v>
      </c>
      <c r="H43" s="23" t="s">
        <v>66</v>
      </c>
      <c r="I43" s="23" t="s">
        <v>31</v>
      </c>
      <c r="J43" s="38" t="s">
        <v>32</v>
      </c>
      <c r="K43" s="23">
        <v>1</v>
      </c>
      <c r="L43" s="23">
        <v>4</v>
      </c>
      <c r="M43" s="29">
        <v>2267</v>
      </c>
      <c r="N43" s="29">
        <v>2267</v>
      </c>
      <c r="O43" s="23" t="s">
        <v>31</v>
      </c>
      <c r="P43" s="38" t="s">
        <v>33</v>
      </c>
      <c r="Q43" s="38" t="s">
        <v>31</v>
      </c>
      <c r="R43" s="38">
        <v>8</v>
      </c>
      <c r="S43" s="23">
        <v>0</v>
      </c>
      <c r="T43" s="23">
        <v>0</v>
      </c>
      <c r="U43" s="44" t="s">
        <v>33</v>
      </c>
      <c r="V43" s="24">
        <v>1.5</v>
      </c>
      <c r="W43" s="59" t="s">
        <v>34</v>
      </c>
      <c r="X43" s="60" t="s">
        <v>31</v>
      </c>
      <c r="Y43" s="37" t="s">
        <v>31</v>
      </c>
    </row>
    <row r="44" spans="1:25" x14ac:dyDescent="0.2">
      <c r="A44" s="37" t="s">
        <v>86</v>
      </c>
      <c r="B44" s="38" t="s">
        <v>25</v>
      </c>
      <c r="C44" s="38" t="s">
        <v>26</v>
      </c>
      <c r="D44" s="38" t="s">
        <v>27</v>
      </c>
      <c r="E44" s="38" t="s">
        <v>87</v>
      </c>
      <c r="F44" s="38">
        <v>2023</v>
      </c>
      <c r="G44" s="65" t="s">
        <v>60</v>
      </c>
      <c r="H44" s="65" t="s">
        <v>53</v>
      </c>
      <c r="I44" s="23" t="s">
        <v>31</v>
      </c>
      <c r="J44" s="38" t="s">
        <v>32</v>
      </c>
      <c r="K44" s="23">
        <v>1</v>
      </c>
      <c r="L44" s="23">
        <v>1</v>
      </c>
      <c r="M44" s="29">
        <v>6000</v>
      </c>
      <c r="N44" s="29">
        <v>1500</v>
      </c>
      <c r="O44" s="23" t="s">
        <v>31</v>
      </c>
      <c r="P44" s="38" t="s">
        <v>33</v>
      </c>
      <c r="Q44" s="38" t="s">
        <v>31</v>
      </c>
      <c r="R44" s="38">
        <v>4</v>
      </c>
      <c r="S44" s="23">
        <v>0</v>
      </c>
      <c r="T44" s="23">
        <v>0</v>
      </c>
      <c r="U44" s="44" t="s">
        <v>33</v>
      </c>
      <c r="V44" s="24">
        <v>1.5</v>
      </c>
      <c r="W44" s="59" t="s">
        <v>34</v>
      </c>
      <c r="X44" s="60" t="s">
        <v>31</v>
      </c>
      <c r="Y44" s="37" t="s">
        <v>31</v>
      </c>
    </row>
    <row r="45" spans="1:25" x14ac:dyDescent="0.2">
      <c r="A45" s="37" t="s">
        <v>88</v>
      </c>
      <c r="B45" s="38" t="s">
        <v>25</v>
      </c>
      <c r="C45" s="38" t="s">
        <v>26</v>
      </c>
      <c r="D45" s="38" t="s">
        <v>27</v>
      </c>
      <c r="E45" s="38" t="s">
        <v>87</v>
      </c>
      <c r="F45" s="38">
        <v>2023</v>
      </c>
      <c r="G45" s="23" t="s">
        <v>89</v>
      </c>
      <c r="H45" s="23" t="s">
        <v>57</v>
      </c>
      <c r="I45" s="23" t="s">
        <v>31</v>
      </c>
      <c r="J45" s="38" t="s">
        <v>32</v>
      </c>
      <c r="K45" s="23">
        <v>1</v>
      </c>
      <c r="L45" s="23">
        <v>1</v>
      </c>
      <c r="M45" s="29">
        <v>6000</v>
      </c>
      <c r="N45" s="29">
        <v>1500</v>
      </c>
      <c r="O45" s="23" t="s">
        <v>31</v>
      </c>
      <c r="P45" s="38" t="s">
        <v>33</v>
      </c>
      <c r="Q45" s="38" t="s">
        <v>31</v>
      </c>
      <c r="R45" s="38">
        <v>4</v>
      </c>
      <c r="S45" s="23">
        <v>0</v>
      </c>
      <c r="T45" s="23">
        <v>0</v>
      </c>
      <c r="U45" s="44" t="s">
        <v>33</v>
      </c>
      <c r="V45" s="24">
        <v>1.5</v>
      </c>
      <c r="W45" s="43" t="s">
        <v>34</v>
      </c>
      <c r="X45" s="61" t="s">
        <v>31</v>
      </c>
      <c r="Y45" s="37" t="s">
        <v>31</v>
      </c>
    </row>
    <row r="46" spans="1:25" x14ac:dyDescent="0.2">
      <c r="A46" s="200" t="s">
        <v>90</v>
      </c>
      <c r="B46" s="201" t="s">
        <v>25</v>
      </c>
      <c r="C46" s="201" t="s">
        <v>26</v>
      </c>
      <c r="D46" s="201" t="s">
        <v>91</v>
      </c>
      <c r="E46" s="201" t="s">
        <v>92</v>
      </c>
      <c r="F46" s="201">
        <v>2023</v>
      </c>
      <c r="G46" s="202" t="s">
        <v>71</v>
      </c>
      <c r="H46" s="202" t="s">
        <v>57</v>
      </c>
      <c r="I46" s="202" t="s">
        <v>31</v>
      </c>
      <c r="J46" s="201" t="s">
        <v>32</v>
      </c>
      <c r="K46" s="202">
        <v>1</v>
      </c>
      <c r="L46" s="202">
        <v>6</v>
      </c>
      <c r="M46" s="202">
        <v>475</v>
      </c>
      <c r="N46" s="205">
        <v>2850</v>
      </c>
      <c r="O46" s="202" t="s">
        <v>31</v>
      </c>
      <c r="P46" s="201" t="s">
        <v>33</v>
      </c>
      <c r="Q46" s="201">
        <v>1620.75</v>
      </c>
      <c r="R46" s="201">
        <v>2</v>
      </c>
      <c r="S46" s="202" t="s">
        <v>31</v>
      </c>
      <c r="T46" s="202" t="s">
        <v>31</v>
      </c>
      <c r="U46" s="201" t="s">
        <v>93</v>
      </c>
      <c r="V46" s="201">
        <v>1.5</v>
      </c>
      <c r="W46" s="201" t="s">
        <v>94</v>
      </c>
      <c r="X46" s="201" t="s">
        <v>31</v>
      </c>
      <c r="Y46" s="201" t="s">
        <v>95</v>
      </c>
    </row>
    <row r="47" spans="1:25" x14ac:dyDescent="0.2">
      <c r="A47" s="37" t="s">
        <v>90</v>
      </c>
      <c r="B47" s="38" t="s">
        <v>25</v>
      </c>
      <c r="C47" s="38" t="s">
        <v>26</v>
      </c>
      <c r="D47" s="38" t="s">
        <v>91</v>
      </c>
      <c r="E47" s="38" t="s">
        <v>92</v>
      </c>
      <c r="F47" s="38">
        <v>2023</v>
      </c>
      <c r="G47" s="23" t="s">
        <v>96</v>
      </c>
      <c r="H47" s="23" t="s">
        <v>57</v>
      </c>
      <c r="I47" s="23" t="s">
        <v>31</v>
      </c>
      <c r="J47" s="38" t="s">
        <v>32</v>
      </c>
      <c r="K47" s="23">
        <v>1</v>
      </c>
      <c r="L47" s="23">
        <v>6</v>
      </c>
      <c r="M47" s="23">
        <v>475</v>
      </c>
      <c r="N47" s="29">
        <v>2850</v>
      </c>
      <c r="O47" s="23" t="s">
        <v>31</v>
      </c>
      <c r="P47" s="38" t="s">
        <v>33</v>
      </c>
      <c r="Q47" s="38">
        <v>1620.75</v>
      </c>
      <c r="R47" s="38">
        <v>2</v>
      </c>
      <c r="S47" s="23" t="s">
        <v>31</v>
      </c>
      <c r="T47" s="23" t="s">
        <v>31</v>
      </c>
      <c r="U47" s="38" t="s">
        <v>93</v>
      </c>
      <c r="V47" s="38">
        <v>1.5</v>
      </c>
      <c r="W47" s="38" t="s">
        <v>94</v>
      </c>
      <c r="X47" s="38" t="s">
        <v>31</v>
      </c>
      <c r="Y47" s="38" t="s">
        <v>95</v>
      </c>
    </row>
    <row r="48" spans="1:25" x14ac:dyDescent="0.2">
      <c r="A48" s="37" t="s">
        <v>90</v>
      </c>
      <c r="B48" s="38" t="s">
        <v>25</v>
      </c>
      <c r="C48" s="38" t="s">
        <v>26</v>
      </c>
      <c r="D48" s="38" t="s">
        <v>91</v>
      </c>
      <c r="E48" s="38" t="s">
        <v>92</v>
      </c>
      <c r="F48" s="38">
        <v>2023</v>
      </c>
      <c r="G48" s="23" t="s">
        <v>97</v>
      </c>
      <c r="H48" s="23" t="s">
        <v>57</v>
      </c>
      <c r="I48" s="23" t="s">
        <v>31</v>
      </c>
      <c r="J48" s="38" t="s">
        <v>32</v>
      </c>
      <c r="K48" s="23">
        <v>1</v>
      </c>
      <c r="L48" s="23">
        <v>6</v>
      </c>
      <c r="M48" s="23">
        <v>475</v>
      </c>
      <c r="N48" s="29">
        <v>2850</v>
      </c>
      <c r="O48" s="23" t="s">
        <v>31</v>
      </c>
      <c r="P48" s="38" t="s">
        <v>33</v>
      </c>
      <c r="Q48" s="38">
        <v>1620.75</v>
      </c>
      <c r="R48" s="38">
        <v>2</v>
      </c>
      <c r="S48" s="23" t="s">
        <v>31</v>
      </c>
      <c r="T48" s="23" t="s">
        <v>31</v>
      </c>
      <c r="U48" s="38" t="s">
        <v>93</v>
      </c>
      <c r="V48" s="38">
        <v>1.5</v>
      </c>
      <c r="W48" s="38" t="s">
        <v>94</v>
      </c>
      <c r="X48" s="38" t="s">
        <v>31</v>
      </c>
      <c r="Y48" s="38" t="s">
        <v>95</v>
      </c>
    </row>
    <row r="49" spans="1:25" x14ac:dyDescent="0.2">
      <c r="A49" s="37" t="s">
        <v>90</v>
      </c>
      <c r="B49" s="38" t="s">
        <v>25</v>
      </c>
      <c r="C49" s="38" t="s">
        <v>26</v>
      </c>
      <c r="D49" s="38" t="s">
        <v>91</v>
      </c>
      <c r="E49" s="38" t="s">
        <v>92</v>
      </c>
      <c r="F49" s="38">
        <v>2023</v>
      </c>
      <c r="G49" s="23" t="s">
        <v>98</v>
      </c>
      <c r="H49" s="23" t="s">
        <v>57</v>
      </c>
      <c r="I49" s="23" t="s">
        <v>31</v>
      </c>
      <c r="J49" s="38" t="s">
        <v>32</v>
      </c>
      <c r="K49" s="23">
        <v>1</v>
      </c>
      <c r="L49" s="23">
        <v>6</v>
      </c>
      <c r="M49" s="23">
        <v>475</v>
      </c>
      <c r="N49" s="29">
        <v>2850</v>
      </c>
      <c r="O49" s="23" t="s">
        <v>31</v>
      </c>
      <c r="P49" s="38" t="s">
        <v>33</v>
      </c>
      <c r="Q49" s="38">
        <v>1620.75</v>
      </c>
      <c r="R49" s="38">
        <v>2</v>
      </c>
      <c r="S49" s="23" t="s">
        <v>31</v>
      </c>
      <c r="T49" s="23" t="s">
        <v>31</v>
      </c>
      <c r="U49" s="38" t="s">
        <v>93</v>
      </c>
      <c r="V49" s="38">
        <v>1.5</v>
      </c>
      <c r="W49" s="38" t="s">
        <v>94</v>
      </c>
      <c r="X49" s="38" t="s">
        <v>31</v>
      </c>
      <c r="Y49" s="38" t="s">
        <v>95</v>
      </c>
    </row>
    <row r="50" spans="1:25" x14ac:dyDescent="0.2">
      <c r="A50" s="37" t="s">
        <v>90</v>
      </c>
      <c r="B50" s="38" t="s">
        <v>25</v>
      </c>
      <c r="C50" s="38" t="s">
        <v>26</v>
      </c>
      <c r="D50" s="38" t="s">
        <v>91</v>
      </c>
      <c r="E50" s="38" t="s">
        <v>92</v>
      </c>
      <c r="F50" s="38">
        <v>2023</v>
      </c>
      <c r="G50" s="23" t="s">
        <v>99</v>
      </c>
      <c r="H50" s="23" t="s">
        <v>57</v>
      </c>
      <c r="I50" s="23" t="s">
        <v>31</v>
      </c>
      <c r="J50" s="38" t="s">
        <v>32</v>
      </c>
      <c r="K50" s="23">
        <v>1</v>
      </c>
      <c r="L50" s="23">
        <v>6</v>
      </c>
      <c r="M50" s="23">
        <v>475</v>
      </c>
      <c r="N50" s="29">
        <v>2850</v>
      </c>
      <c r="O50" s="23" t="s">
        <v>31</v>
      </c>
      <c r="P50" s="38" t="s">
        <v>33</v>
      </c>
      <c r="Q50" s="38">
        <v>1620.75</v>
      </c>
      <c r="R50" s="38">
        <v>2</v>
      </c>
      <c r="S50" s="23" t="s">
        <v>31</v>
      </c>
      <c r="T50" s="23" t="s">
        <v>31</v>
      </c>
      <c r="U50" s="38" t="s">
        <v>93</v>
      </c>
      <c r="V50" s="38">
        <v>1.5</v>
      </c>
      <c r="W50" s="38" t="s">
        <v>94</v>
      </c>
      <c r="X50" s="38" t="s">
        <v>31</v>
      </c>
      <c r="Y50" s="38" t="s">
        <v>95</v>
      </c>
    </row>
    <row r="51" spans="1:25" x14ac:dyDescent="0.2">
      <c r="A51" s="37" t="s">
        <v>90</v>
      </c>
      <c r="B51" s="38" t="s">
        <v>25</v>
      </c>
      <c r="C51" s="38" t="s">
        <v>26</v>
      </c>
      <c r="D51" s="38" t="s">
        <v>91</v>
      </c>
      <c r="E51" s="38" t="s">
        <v>92</v>
      </c>
      <c r="F51" s="38">
        <v>2023</v>
      </c>
      <c r="G51" s="23" t="s">
        <v>100</v>
      </c>
      <c r="H51" s="23" t="s">
        <v>57</v>
      </c>
      <c r="I51" s="23" t="s">
        <v>31</v>
      </c>
      <c r="J51" s="38" t="s">
        <v>32</v>
      </c>
      <c r="K51" s="23">
        <v>1</v>
      </c>
      <c r="L51" s="23">
        <v>6</v>
      </c>
      <c r="M51" s="23">
        <v>475</v>
      </c>
      <c r="N51" s="29">
        <v>2850</v>
      </c>
      <c r="O51" s="23" t="s">
        <v>31</v>
      </c>
      <c r="P51" s="38" t="s">
        <v>33</v>
      </c>
      <c r="Q51" s="38">
        <v>1620.75</v>
      </c>
      <c r="R51" s="38">
        <v>2</v>
      </c>
      <c r="S51" s="23" t="s">
        <v>31</v>
      </c>
      <c r="T51" s="23" t="s">
        <v>31</v>
      </c>
      <c r="U51" s="38" t="s">
        <v>93</v>
      </c>
      <c r="V51" s="38">
        <v>1.5</v>
      </c>
      <c r="W51" s="38" t="s">
        <v>94</v>
      </c>
      <c r="X51" s="38" t="s">
        <v>31</v>
      </c>
      <c r="Y51" s="38" t="s">
        <v>95</v>
      </c>
    </row>
    <row r="52" spans="1:25" x14ac:dyDescent="0.2">
      <c r="A52" s="37" t="s">
        <v>90</v>
      </c>
      <c r="B52" s="38" t="s">
        <v>25</v>
      </c>
      <c r="C52" s="38" t="s">
        <v>26</v>
      </c>
      <c r="D52" s="38" t="s">
        <v>91</v>
      </c>
      <c r="E52" s="38" t="s">
        <v>92</v>
      </c>
      <c r="F52" s="38">
        <v>2023</v>
      </c>
      <c r="G52" s="23" t="s">
        <v>101</v>
      </c>
      <c r="H52" s="23" t="s">
        <v>57</v>
      </c>
      <c r="I52" s="23" t="s">
        <v>31</v>
      </c>
      <c r="J52" s="38" t="s">
        <v>32</v>
      </c>
      <c r="K52" s="23">
        <v>1</v>
      </c>
      <c r="L52" s="23">
        <v>6</v>
      </c>
      <c r="M52" s="23">
        <v>475</v>
      </c>
      <c r="N52" s="29">
        <v>2850</v>
      </c>
      <c r="O52" s="23" t="s">
        <v>31</v>
      </c>
      <c r="P52" s="38" t="s">
        <v>33</v>
      </c>
      <c r="Q52" s="38">
        <v>1620.75</v>
      </c>
      <c r="R52" s="38">
        <v>2</v>
      </c>
      <c r="S52" s="23" t="s">
        <v>31</v>
      </c>
      <c r="T52" s="23" t="s">
        <v>31</v>
      </c>
      <c r="U52" s="38" t="s">
        <v>93</v>
      </c>
      <c r="V52" s="38">
        <v>1.5</v>
      </c>
      <c r="W52" s="38" t="s">
        <v>94</v>
      </c>
      <c r="X52" s="38" t="s">
        <v>31</v>
      </c>
      <c r="Y52" s="38" t="s">
        <v>95</v>
      </c>
    </row>
    <row r="53" spans="1:25" x14ac:dyDescent="0.2">
      <c r="A53" s="37" t="s">
        <v>90</v>
      </c>
      <c r="B53" s="38" t="s">
        <v>25</v>
      </c>
      <c r="C53" s="38" t="s">
        <v>26</v>
      </c>
      <c r="D53" s="38" t="s">
        <v>91</v>
      </c>
      <c r="E53" s="38" t="s">
        <v>92</v>
      </c>
      <c r="F53" s="38">
        <v>2023</v>
      </c>
      <c r="G53" s="23" t="s">
        <v>83</v>
      </c>
      <c r="H53" s="23" t="s">
        <v>57</v>
      </c>
      <c r="I53" s="23" t="s">
        <v>31</v>
      </c>
      <c r="J53" s="38" t="s">
        <v>32</v>
      </c>
      <c r="K53" s="23">
        <v>1</v>
      </c>
      <c r="L53" s="23">
        <v>6</v>
      </c>
      <c r="M53" s="23">
        <v>475</v>
      </c>
      <c r="N53" s="29">
        <v>2850</v>
      </c>
      <c r="O53" s="23" t="s">
        <v>31</v>
      </c>
      <c r="P53" s="38" t="s">
        <v>33</v>
      </c>
      <c r="Q53" s="38">
        <v>1620.75</v>
      </c>
      <c r="R53" s="38">
        <v>2</v>
      </c>
      <c r="S53" s="23" t="s">
        <v>31</v>
      </c>
      <c r="T53" s="23" t="s">
        <v>31</v>
      </c>
      <c r="U53" s="38" t="s">
        <v>93</v>
      </c>
      <c r="V53" s="38">
        <v>1.5</v>
      </c>
      <c r="W53" s="38" t="s">
        <v>94</v>
      </c>
      <c r="X53" s="38" t="s">
        <v>31</v>
      </c>
      <c r="Y53" s="38" t="s">
        <v>95</v>
      </c>
    </row>
    <row r="54" spans="1:25" x14ac:dyDescent="0.2">
      <c r="A54" s="37" t="s">
        <v>90</v>
      </c>
      <c r="B54" s="38" t="s">
        <v>25</v>
      </c>
      <c r="C54" s="38" t="s">
        <v>26</v>
      </c>
      <c r="D54" s="38" t="s">
        <v>91</v>
      </c>
      <c r="E54" s="38" t="s">
        <v>92</v>
      </c>
      <c r="F54" s="38">
        <v>2023</v>
      </c>
      <c r="G54" s="23" t="s">
        <v>102</v>
      </c>
      <c r="H54" s="23" t="s">
        <v>57</v>
      </c>
      <c r="I54" s="23" t="s">
        <v>31</v>
      </c>
      <c r="J54" s="38" t="s">
        <v>32</v>
      </c>
      <c r="K54" s="23">
        <v>1</v>
      </c>
      <c r="L54" s="23">
        <v>12</v>
      </c>
      <c r="M54" s="23">
        <v>475</v>
      </c>
      <c r="N54" s="29">
        <v>5700</v>
      </c>
      <c r="O54" s="23" t="s">
        <v>31</v>
      </c>
      <c r="P54" s="38" t="s">
        <v>33</v>
      </c>
      <c r="Q54" s="38">
        <v>1620.75</v>
      </c>
      <c r="R54" s="38">
        <v>2</v>
      </c>
      <c r="S54" s="23" t="s">
        <v>31</v>
      </c>
      <c r="T54" s="23" t="s">
        <v>31</v>
      </c>
      <c r="U54" s="38" t="s">
        <v>93</v>
      </c>
      <c r="V54" s="38">
        <v>1.5</v>
      </c>
      <c r="W54" s="38" t="s">
        <v>94</v>
      </c>
      <c r="X54" s="38" t="s">
        <v>31</v>
      </c>
      <c r="Y54" s="38" t="s">
        <v>95</v>
      </c>
    </row>
    <row r="55" spans="1:25" x14ac:dyDescent="0.2">
      <c r="A55" s="37" t="s">
        <v>90</v>
      </c>
      <c r="B55" s="38" t="s">
        <v>25</v>
      </c>
      <c r="C55" s="38" t="s">
        <v>26</v>
      </c>
      <c r="D55" s="38" t="s">
        <v>91</v>
      </c>
      <c r="E55" s="38" t="s">
        <v>92</v>
      </c>
      <c r="F55" s="38">
        <v>2023</v>
      </c>
      <c r="G55" s="23" t="s">
        <v>70</v>
      </c>
      <c r="H55" s="23" t="s">
        <v>57</v>
      </c>
      <c r="I55" s="23" t="s">
        <v>31</v>
      </c>
      <c r="J55" s="38" t="s">
        <v>32</v>
      </c>
      <c r="K55" s="23">
        <v>1</v>
      </c>
      <c r="L55" s="23">
        <v>6</v>
      </c>
      <c r="M55" s="23">
        <v>475</v>
      </c>
      <c r="N55" s="29">
        <v>2850</v>
      </c>
      <c r="O55" s="23" t="s">
        <v>31</v>
      </c>
      <c r="P55" s="38" t="s">
        <v>33</v>
      </c>
      <c r="Q55" s="38">
        <v>1620.75</v>
      </c>
      <c r="R55" s="38">
        <v>2</v>
      </c>
      <c r="S55" s="23" t="s">
        <v>31</v>
      </c>
      <c r="T55" s="23" t="s">
        <v>31</v>
      </c>
      <c r="U55" s="38" t="s">
        <v>93</v>
      </c>
      <c r="V55" s="38">
        <v>1.5</v>
      </c>
      <c r="W55" s="38" t="s">
        <v>94</v>
      </c>
      <c r="X55" s="38" t="s">
        <v>31</v>
      </c>
      <c r="Y55" s="38" t="s">
        <v>95</v>
      </c>
    </row>
    <row r="56" spans="1:25" x14ac:dyDescent="0.2">
      <c r="A56" s="37" t="s">
        <v>90</v>
      </c>
      <c r="B56" s="38" t="s">
        <v>25</v>
      </c>
      <c r="C56" s="38" t="s">
        <v>26</v>
      </c>
      <c r="D56" s="38" t="s">
        <v>91</v>
      </c>
      <c r="E56" s="38" t="s">
        <v>92</v>
      </c>
      <c r="F56" s="38">
        <v>2023</v>
      </c>
      <c r="G56" s="23" t="s">
        <v>103</v>
      </c>
      <c r="H56" s="23" t="s">
        <v>57</v>
      </c>
      <c r="I56" s="23" t="s">
        <v>31</v>
      </c>
      <c r="J56" s="38" t="s">
        <v>32</v>
      </c>
      <c r="K56" s="23">
        <v>1</v>
      </c>
      <c r="L56" s="23">
        <v>6</v>
      </c>
      <c r="M56" s="23">
        <v>475</v>
      </c>
      <c r="N56" s="29">
        <v>2850</v>
      </c>
      <c r="O56" s="23" t="s">
        <v>31</v>
      </c>
      <c r="P56" s="38" t="s">
        <v>33</v>
      </c>
      <c r="Q56" s="38">
        <v>1620.75</v>
      </c>
      <c r="R56" s="38">
        <v>2</v>
      </c>
      <c r="S56" s="23" t="s">
        <v>31</v>
      </c>
      <c r="T56" s="23" t="s">
        <v>31</v>
      </c>
      <c r="U56" s="38" t="s">
        <v>93</v>
      </c>
      <c r="V56" s="38">
        <v>1.5</v>
      </c>
      <c r="W56" s="38" t="s">
        <v>94</v>
      </c>
      <c r="X56" s="38" t="s">
        <v>31</v>
      </c>
      <c r="Y56" s="38" t="s">
        <v>95</v>
      </c>
    </row>
    <row r="57" spans="1:25" x14ac:dyDescent="0.2">
      <c r="A57" s="37" t="s">
        <v>90</v>
      </c>
      <c r="B57" s="38" t="s">
        <v>25</v>
      </c>
      <c r="C57" s="38" t="s">
        <v>26</v>
      </c>
      <c r="D57" s="38" t="s">
        <v>91</v>
      </c>
      <c r="E57" s="38" t="s">
        <v>92</v>
      </c>
      <c r="F57" s="38">
        <v>2023</v>
      </c>
      <c r="G57" s="23" t="s">
        <v>104</v>
      </c>
      <c r="H57" s="23" t="s">
        <v>57</v>
      </c>
      <c r="I57" s="23" t="s">
        <v>31</v>
      </c>
      <c r="J57" s="38" t="s">
        <v>32</v>
      </c>
      <c r="K57" s="23">
        <v>1</v>
      </c>
      <c r="L57" s="23">
        <v>6</v>
      </c>
      <c r="M57" s="23">
        <v>475</v>
      </c>
      <c r="N57" s="29">
        <v>2850</v>
      </c>
      <c r="O57" s="23" t="s">
        <v>31</v>
      </c>
      <c r="P57" s="38" t="s">
        <v>33</v>
      </c>
      <c r="Q57" s="38">
        <v>1620.75</v>
      </c>
      <c r="R57" s="38">
        <v>2</v>
      </c>
      <c r="S57" s="23" t="s">
        <v>31</v>
      </c>
      <c r="T57" s="23" t="s">
        <v>31</v>
      </c>
      <c r="U57" s="38" t="s">
        <v>93</v>
      </c>
      <c r="V57" s="38">
        <v>1.5</v>
      </c>
      <c r="W57" s="38" t="s">
        <v>94</v>
      </c>
      <c r="X57" s="38" t="s">
        <v>31</v>
      </c>
      <c r="Y57" s="38" t="s">
        <v>95</v>
      </c>
    </row>
    <row r="58" spans="1:25" x14ac:dyDescent="0.2">
      <c r="A58" s="37" t="s">
        <v>90</v>
      </c>
      <c r="B58" s="38" t="s">
        <v>25</v>
      </c>
      <c r="C58" s="38" t="s">
        <v>26</v>
      </c>
      <c r="D58" s="38" t="s">
        <v>91</v>
      </c>
      <c r="E58" s="38" t="s">
        <v>92</v>
      </c>
      <c r="F58" s="38">
        <v>2023</v>
      </c>
      <c r="G58" s="23" t="s">
        <v>105</v>
      </c>
      <c r="H58" s="23" t="s">
        <v>57</v>
      </c>
      <c r="I58" s="23" t="s">
        <v>31</v>
      </c>
      <c r="J58" s="38" t="s">
        <v>32</v>
      </c>
      <c r="K58" s="23">
        <v>1</v>
      </c>
      <c r="L58" s="23">
        <v>6</v>
      </c>
      <c r="M58" s="23">
        <v>475</v>
      </c>
      <c r="N58" s="29">
        <v>2850</v>
      </c>
      <c r="O58" s="23" t="s">
        <v>31</v>
      </c>
      <c r="P58" s="38" t="s">
        <v>33</v>
      </c>
      <c r="Q58" s="38">
        <v>1620.75</v>
      </c>
      <c r="R58" s="38">
        <v>2</v>
      </c>
      <c r="S58" s="23" t="s">
        <v>31</v>
      </c>
      <c r="T58" s="23" t="s">
        <v>31</v>
      </c>
      <c r="U58" s="38" t="s">
        <v>93</v>
      </c>
      <c r="V58" s="38">
        <v>1.5</v>
      </c>
      <c r="W58" s="38" t="s">
        <v>94</v>
      </c>
      <c r="X58" s="38" t="s">
        <v>31</v>
      </c>
      <c r="Y58" s="38" t="s">
        <v>95</v>
      </c>
    </row>
    <row r="59" spans="1:25" x14ac:dyDescent="0.2">
      <c r="A59" s="37" t="s">
        <v>90</v>
      </c>
      <c r="B59" s="38" t="s">
        <v>25</v>
      </c>
      <c r="C59" s="38" t="s">
        <v>26</v>
      </c>
      <c r="D59" s="38" t="s">
        <v>91</v>
      </c>
      <c r="E59" s="38" t="s">
        <v>92</v>
      </c>
      <c r="F59" s="38">
        <v>2023</v>
      </c>
      <c r="G59" s="23" t="s">
        <v>106</v>
      </c>
      <c r="H59" s="23" t="s">
        <v>107</v>
      </c>
      <c r="I59" s="23" t="s">
        <v>31</v>
      </c>
      <c r="J59" s="38" t="s">
        <v>32</v>
      </c>
      <c r="K59" s="23">
        <v>1</v>
      </c>
      <c r="L59" s="23">
        <v>6</v>
      </c>
      <c r="M59" s="23">
        <v>475</v>
      </c>
      <c r="N59" s="29">
        <v>2850</v>
      </c>
      <c r="O59" s="23" t="s">
        <v>31</v>
      </c>
      <c r="P59" s="38" t="s">
        <v>33</v>
      </c>
      <c r="Q59" s="38">
        <v>1620.75</v>
      </c>
      <c r="R59" s="38">
        <v>2</v>
      </c>
      <c r="S59" s="23" t="s">
        <v>31</v>
      </c>
      <c r="T59" s="23" t="s">
        <v>31</v>
      </c>
      <c r="U59" s="38" t="s">
        <v>93</v>
      </c>
      <c r="V59" s="38">
        <v>1.5</v>
      </c>
      <c r="W59" s="38" t="s">
        <v>94</v>
      </c>
      <c r="X59" s="38" t="s">
        <v>31</v>
      </c>
      <c r="Y59" s="38" t="s">
        <v>95</v>
      </c>
    </row>
    <row r="60" spans="1:25" x14ac:dyDescent="0.2">
      <c r="A60" s="37" t="s">
        <v>90</v>
      </c>
      <c r="B60" s="38" t="s">
        <v>25</v>
      </c>
      <c r="C60" s="38" t="s">
        <v>26</v>
      </c>
      <c r="D60" s="38" t="s">
        <v>91</v>
      </c>
      <c r="E60" s="38" t="s">
        <v>92</v>
      </c>
      <c r="F60" s="38">
        <v>2023</v>
      </c>
      <c r="G60" s="23" t="s">
        <v>108</v>
      </c>
      <c r="H60" s="23" t="s">
        <v>109</v>
      </c>
      <c r="I60" s="23" t="s">
        <v>31</v>
      </c>
      <c r="J60" s="38" t="s">
        <v>32</v>
      </c>
      <c r="K60" s="23">
        <v>1</v>
      </c>
      <c r="L60" s="23">
        <v>6</v>
      </c>
      <c r="M60" s="23">
        <v>475</v>
      </c>
      <c r="N60" s="29">
        <v>2850</v>
      </c>
      <c r="O60" s="23" t="s">
        <v>31</v>
      </c>
      <c r="P60" s="38" t="s">
        <v>33</v>
      </c>
      <c r="Q60" s="38">
        <v>1620.75</v>
      </c>
      <c r="R60" s="38">
        <v>2</v>
      </c>
      <c r="S60" s="23" t="s">
        <v>31</v>
      </c>
      <c r="T60" s="23" t="s">
        <v>31</v>
      </c>
      <c r="U60" s="38" t="s">
        <v>93</v>
      </c>
      <c r="V60" s="38">
        <v>1.5</v>
      </c>
      <c r="W60" s="38" t="s">
        <v>94</v>
      </c>
      <c r="X60" s="38" t="s">
        <v>31</v>
      </c>
      <c r="Y60" s="38" t="s">
        <v>95</v>
      </c>
    </row>
    <row r="61" spans="1:25" x14ac:dyDescent="0.2">
      <c r="A61" s="37" t="s">
        <v>90</v>
      </c>
      <c r="B61" s="38" t="s">
        <v>25</v>
      </c>
      <c r="C61" s="38" t="s">
        <v>26</v>
      </c>
      <c r="D61" s="38" t="s">
        <v>91</v>
      </c>
      <c r="E61" s="38" t="s">
        <v>92</v>
      </c>
      <c r="F61" s="38">
        <v>2023</v>
      </c>
      <c r="G61" s="23" t="s">
        <v>108</v>
      </c>
      <c r="H61" s="23" t="s">
        <v>110</v>
      </c>
      <c r="I61" s="23" t="s">
        <v>31</v>
      </c>
      <c r="J61" s="38" t="s">
        <v>32</v>
      </c>
      <c r="K61" s="23">
        <v>1</v>
      </c>
      <c r="L61" s="23">
        <v>6</v>
      </c>
      <c r="M61" s="23">
        <v>475</v>
      </c>
      <c r="N61" s="29">
        <v>2850</v>
      </c>
      <c r="O61" s="23" t="s">
        <v>31</v>
      </c>
      <c r="P61" s="38" t="s">
        <v>33</v>
      </c>
      <c r="Q61" s="38">
        <v>1620.75</v>
      </c>
      <c r="R61" s="38">
        <v>2</v>
      </c>
      <c r="S61" s="23" t="s">
        <v>31</v>
      </c>
      <c r="T61" s="23" t="s">
        <v>31</v>
      </c>
      <c r="U61" s="38" t="s">
        <v>93</v>
      </c>
      <c r="V61" s="38">
        <v>1.5</v>
      </c>
      <c r="W61" s="38" t="s">
        <v>94</v>
      </c>
      <c r="X61" s="38" t="s">
        <v>31</v>
      </c>
      <c r="Y61" s="38" t="s">
        <v>95</v>
      </c>
    </row>
    <row r="62" spans="1:25" x14ac:dyDescent="0.2">
      <c r="A62" s="37" t="s">
        <v>90</v>
      </c>
      <c r="B62" s="38" t="s">
        <v>25</v>
      </c>
      <c r="C62" s="38" t="s">
        <v>26</v>
      </c>
      <c r="D62" s="38" t="s">
        <v>91</v>
      </c>
      <c r="E62" s="38" t="s">
        <v>92</v>
      </c>
      <c r="F62" s="38">
        <v>2023</v>
      </c>
      <c r="G62" s="23" t="s">
        <v>108</v>
      </c>
      <c r="H62" s="23" t="s">
        <v>36</v>
      </c>
      <c r="I62" s="23" t="s">
        <v>31</v>
      </c>
      <c r="J62" s="38" t="s">
        <v>32</v>
      </c>
      <c r="K62" s="23">
        <v>1</v>
      </c>
      <c r="L62" s="23">
        <v>6</v>
      </c>
      <c r="M62" s="23">
        <v>475</v>
      </c>
      <c r="N62" s="29">
        <v>2850</v>
      </c>
      <c r="O62" s="23" t="s">
        <v>31</v>
      </c>
      <c r="P62" s="38" t="s">
        <v>33</v>
      </c>
      <c r="Q62" s="38">
        <v>1620.75</v>
      </c>
      <c r="R62" s="38">
        <v>2</v>
      </c>
      <c r="S62" s="23" t="s">
        <v>31</v>
      </c>
      <c r="T62" s="23" t="s">
        <v>31</v>
      </c>
      <c r="U62" s="38" t="s">
        <v>93</v>
      </c>
      <c r="V62" s="38">
        <v>1.5</v>
      </c>
      <c r="W62" s="38" t="s">
        <v>94</v>
      </c>
      <c r="X62" s="38" t="s">
        <v>31</v>
      </c>
      <c r="Y62" s="38" t="s">
        <v>95</v>
      </c>
    </row>
    <row r="63" spans="1:25" x14ac:dyDescent="0.2">
      <c r="A63" s="37" t="s">
        <v>90</v>
      </c>
      <c r="B63" s="38" t="s">
        <v>25</v>
      </c>
      <c r="C63" s="38" t="s">
        <v>26</v>
      </c>
      <c r="D63" s="38" t="s">
        <v>91</v>
      </c>
      <c r="E63" s="38" t="s">
        <v>92</v>
      </c>
      <c r="F63" s="38">
        <v>2023</v>
      </c>
      <c r="G63" s="23" t="s">
        <v>108</v>
      </c>
      <c r="H63" s="23" t="s">
        <v>111</v>
      </c>
      <c r="I63" s="23" t="s">
        <v>31</v>
      </c>
      <c r="J63" s="38" t="s">
        <v>32</v>
      </c>
      <c r="K63" s="23">
        <v>1</v>
      </c>
      <c r="L63" s="23">
        <v>6</v>
      </c>
      <c r="M63" s="23">
        <v>475</v>
      </c>
      <c r="N63" s="29">
        <v>2850</v>
      </c>
      <c r="O63" s="23" t="s">
        <v>31</v>
      </c>
      <c r="P63" s="38" t="s">
        <v>33</v>
      </c>
      <c r="Q63" s="38">
        <v>1620.75</v>
      </c>
      <c r="R63" s="38">
        <v>2</v>
      </c>
      <c r="S63" s="23" t="s">
        <v>31</v>
      </c>
      <c r="T63" s="23" t="s">
        <v>31</v>
      </c>
      <c r="U63" s="38" t="s">
        <v>93</v>
      </c>
      <c r="V63" s="38">
        <v>1.5</v>
      </c>
      <c r="W63" s="38" t="s">
        <v>94</v>
      </c>
      <c r="X63" s="38" t="s">
        <v>31</v>
      </c>
      <c r="Y63" s="38" t="s">
        <v>95</v>
      </c>
    </row>
    <row r="64" spans="1:25" x14ac:dyDescent="0.2">
      <c r="A64" s="37" t="s">
        <v>90</v>
      </c>
      <c r="B64" s="38" t="s">
        <v>25</v>
      </c>
      <c r="C64" s="38" t="s">
        <v>26</v>
      </c>
      <c r="D64" s="38" t="s">
        <v>91</v>
      </c>
      <c r="E64" s="38" t="s">
        <v>92</v>
      </c>
      <c r="F64" s="38">
        <v>2023</v>
      </c>
      <c r="G64" s="23" t="s">
        <v>68</v>
      </c>
      <c r="H64" s="23" t="s">
        <v>68</v>
      </c>
      <c r="I64" s="23" t="s">
        <v>31</v>
      </c>
      <c r="J64" s="38" t="s">
        <v>32</v>
      </c>
      <c r="K64" s="23">
        <v>1</v>
      </c>
      <c r="L64" s="23">
        <v>6</v>
      </c>
      <c r="M64" s="23">
        <v>475</v>
      </c>
      <c r="N64" s="29">
        <v>2850</v>
      </c>
      <c r="O64" s="23" t="s">
        <v>31</v>
      </c>
      <c r="P64" s="38" t="s">
        <v>33</v>
      </c>
      <c r="Q64" s="38">
        <v>1620.75</v>
      </c>
      <c r="R64" s="38">
        <v>2</v>
      </c>
      <c r="S64" s="23" t="s">
        <v>31</v>
      </c>
      <c r="T64" s="23" t="s">
        <v>31</v>
      </c>
      <c r="U64" s="38" t="s">
        <v>93</v>
      </c>
      <c r="V64" s="38">
        <v>1.5</v>
      </c>
      <c r="W64" s="38" t="s">
        <v>94</v>
      </c>
      <c r="X64" s="38" t="s">
        <v>31</v>
      </c>
      <c r="Y64" s="38" t="s">
        <v>95</v>
      </c>
    </row>
    <row r="65" spans="1:25" x14ac:dyDescent="0.2">
      <c r="A65" s="37" t="s">
        <v>90</v>
      </c>
      <c r="B65" s="38" t="s">
        <v>25</v>
      </c>
      <c r="C65" s="38" t="s">
        <v>26</v>
      </c>
      <c r="D65" s="38" t="s">
        <v>91</v>
      </c>
      <c r="E65" s="38" t="s">
        <v>92</v>
      </c>
      <c r="F65" s="38">
        <v>2023</v>
      </c>
      <c r="G65" s="23" t="s">
        <v>112</v>
      </c>
      <c r="H65" s="23" t="s">
        <v>112</v>
      </c>
      <c r="I65" s="23" t="s">
        <v>31</v>
      </c>
      <c r="J65" s="38" t="s">
        <v>32</v>
      </c>
      <c r="K65" s="23">
        <v>1</v>
      </c>
      <c r="L65" s="23">
        <v>6</v>
      </c>
      <c r="M65" s="23">
        <v>475</v>
      </c>
      <c r="N65" s="29">
        <v>2850</v>
      </c>
      <c r="O65" s="23" t="s">
        <v>31</v>
      </c>
      <c r="P65" s="38" t="s">
        <v>33</v>
      </c>
      <c r="Q65" s="38">
        <v>1620.75</v>
      </c>
      <c r="R65" s="38">
        <v>2</v>
      </c>
      <c r="S65" s="23" t="s">
        <v>31</v>
      </c>
      <c r="T65" s="23" t="s">
        <v>31</v>
      </c>
      <c r="U65" s="38" t="s">
        <v>93</v>
      </c>
      <c r="V65" s="38">
        <v>1.5</v>
      </c>
      <c r="W65" s="38" t="s">
        <v>94</v>
      </c>
      <c r="X65" s="38" t="s">
        <v>31</v>
      </c>
      <c r="Y65" s="38" t="s">
        <v>95</v>
      </c>
    </row>
    <row r="66" spans="1:25" x14ac:dyDescent="0.2">
      <c r="A66" s="37" t="s">
        <v>90</v>
      </c>
      <c r="B66" s="38" t="s">
        <v>25</v>
      </c>
      <c r="C66" s="38" t="s">
        <v>26</v>
      </c>
      <c r="D66" s="38" t="s">
        <v>91</v>
      </c>
      <c r="E66" s="38" t="s">
        <v>92</v>
      </c>
      <c r="F66" s="38">
        <v>2023</v>
      </c>
      <c r="G66" s="23" t="s">
        <v>67</v>
      </c>
      <c r="H66" s="23" t="s">
        <v>66</v>
      </c>
      <c r="I66" s="23" t="s">
        <v>31</v>
      </c>
      <c r="J66" s="38" t="s">
        <v>32</v>
      </c>
      <c r="K66" s="23">
        <v>1</v>
      </c>
      <c r="L66" s="23">
        <v>6</v>
      </c>
      <c r="M66" s="23">
        <v>475</v>
      </c>
      <c r="N66" s="29">
        <v>2850</v>
      </c>
      <c r="O66" s="23" t="s">
        <v>31</v>
      </c>
      <c r="P66" s="38" t="s">
        <v>33</v>
      </c>
      <c r="Q66" s="38">
        <v>1620.75</v>
      </c>
      <c r="R66" s="38">
        <v>2</v>
      </c>
      <c r="S66" s="23" t="s">
        <v>31</v>
      </c>
      <c r="T66" s="23" t="s">
        <v>31</v>
      </c>
      <c r="U66" s="38" t="s">
        <v>93</v>
      </c>
      <c r="V66" s="38">
        <v>1.5</v>
      </c>
      <c r="W66" s="38" t="s">
        <v>94</v>
      </c>
      <c r="X66" s="38" t="s">
        <v>31</v>
      </c>
      <c r="Y66" s="38" t="s">
        <v>95</v>
      </c>
    </row>
    <row r="67" spans="1:25" x14ac:dyDescent="0.2">
      <c r="A67" s="37" t="s">
        <v>90</v>
      </c>
      <c r="B67" s="38" t="s">
        <v>25</v>
      </c>
      <c r="C67" s="38" t="s">
        <v>26</v>
      </c>
      <c r="D67" s="38" t="s">
        <v>91</v>
      </c>
      <c r="E67" s="38" t="s">
        <v>92</v>
      </c>
      <c r="F67" s="38">
        <v>2023</v>
      </c>
      <c r="G67" s="23" t="s">
        <v>113</v>
      </c>
      <c r="H67" s="23" t="s">
        <v>66</v>
      </c>
      <c r="I67" s="23" t="s">
        <v>31</v>
      </c>
      <c r="J67" s="38" t="s">
        <v>32</v>
      </c>
      <c r="K67" s="23">
        <v>2</v>
      </c>
      <c r="L67" s="23">
        <v>8</v>
      </c>
      <c r="M67" s="23">
        <v>475</v>
      </c>
      <c r="N67" s="29">
        <v>3800</v>
      </c>
      <c r="O67" s="23" t="s">
        <v>31</v>
      </c>
      <c r="P67" s="38" t="s">
        <v>33</v>
      </c>
      <c r="Q67" s="38">
        <v>1620.75</v>
      </c>
      <c r="R67" s="38">
        <v>4</v>
      </c>
      <c r="S67" s="23" t="s">
        <v>31</v>
      </c>
      <c r="T67" s="23" t="s">
        <v>31</v>
      </c>
      <c r="U67" s="38" t="s">
        <v>93</v>
      </c>
      <c r="V67" s="38">
        <v>3</v>
      </c>
      <c r="W67" s="38" t="s">
        <v>94</v>
      </c>
      <c r="X67" s="38" t="s">
        <v>31</v>
      </c>
      <c r="Y67" s="38" t="s">
        <v>95</v>
      </c>
    </row>
    <row r="68" spans="1:25" x14ac:dyDescent="0.2">
      <c r="A68" s="37" t="s">
        <v>90</v>
      </c>
      <c r="B68" s="38" t="s">
        <v>25</v>
      </c>
      <c r="C68" s="38" t="s">
        <v>26</v>
      </c>
      <c r="D68" s="38" t="s">
        <v>91</v>
      </c>
      <c r="E68" s="38" t="s">
        <v>92</v>
      </c>
      <c r="F68" s="38">
        <v>2023</v>
      </c>
      <c r="G68" s="23" t="s">
        <v>42</v>
      </c>
      <c r="H68" s="23" t="s">
        <v>66</v>
      </c>
      <c r="I68" s="23" t="s">
        <v>31</v>
      </c>
      <c r="J68" s="38" t="s">
        <v>32</v>
      </c>
      <c r="K68" s="23">
        <v>1</v>
      </c>
      <c r="L68" s="23">
        <v>6</v>
      </c>
      <c r="M68" s="23">
        <v>475</v>
      </c>
      <c r="N68" s="29">
        <v>2850</v>
      </c>
      <c r="O68" s="23" t="s">
        <v>31</v>
      </c>
      <c r="P68" s="38" t="s">
        <v>33</v>
      </c>
      <c r="Q68" s="38">
        <v>1620.75</v>
      </c>
      <c r="R68" s="38">
        <v>2</v>
      </c>
      <c r="S68" s="23" t="s">
        <v>31</v>
      </c>
      <c r="T68" s="23" t="s">
        <v>31</v>
      </c>
      <c r="U68" s="38" t="s">
        <v>93</v>
      </c>
      <c r="V68" s="38">
        <v>1.5</v>
      </c>
      <c r="W68" s="38" t="s">
        <v>94</v>
      </c>
      <c r="X68" s="38" t="s">
        <v>31</v>
      </c>
      <c r="Y68" s="38" t="s">
        <v>95</v>
      </c>
    </row>
    <row r="69" spans="1:25" x14ac:dyDescent="0.2">
      <c r="A69" s="37" t="s">
        <v>90</v>
      </c>
      <c r="B69" s="38" t="s">
        <v>25</v>
      </c>
      <c r="C69" s="38" t="s">
        <v>26</v>
      </c>
      <c r="D69" s="38" t="s">
        <v>91</v>
      </c>
      <c r="E69" s="38" t="s">
        <v>92</v>
      </c>
      <c r="F69" s="38">
        <v>2023</v>
      </c>
      <c r="G69" s="23" t="s">
        <v>40</v>
      </c>
      <c r="H69" s="23" t="s">
        <v>66</v>
      </c>
      <c r="I69" s="23" t="s">
        <v>31</v>
      </c>
      <c r="J69" s="38" t="s">
        <v>32</v>
      </c>
      <c r="K69" s="23">
        <v>1</v>
      </c>
      <c r="L69" s="23">
        <v>6</v>
      </c>
      <c r="M69" s="23">
        <v>475</v>
      </c>
      <c r="N69" s="29">
        <v>2850</v>
      </c>
      <c r="O69" s="23" t="s">
        <v>31</v>
      </c>
      <c r="P69" s="38" t="s">
        <v>33</v>
      </c>
      <c r="Q69" s="38">
        <v>1620.75</v>
      </c>
      <c r="R69" s="38">
        <v>2</v>
      </c>
      <c r="S69" s="23" t="s">
        <v>31</v>
      </c>
      <c r="T69" s="23" t="s">
        <v>31</v>
      </c>
      <c r="U69" s="38" t="s">
        <v>93</v>
      </c>
      <c r="V69" s="38">
        <v>1.5</v>
      </c>
      <c r="W69" s="38" t="s">
        <v>94</v>
      </c>
      <c r="X69" s="38" t="s">
        <v>31</v>
      </c>
      <c r="Y69" s="38" t="s">
        <v>95</v>
      </c>
    </row>
    <row r="70" spans="1:25" x14ac:dyDescent="0.2">
      <c r="A70" s="37" t="s">
        <v>90</v>
      </c>
      <c r="B70" s="38" t="s">
        <v>25</v>
      </c>
      <c r="C70" s="38" t="s">
        <v>26</v>
      </c>
      <c r="D70" s="38" t="s">
        <v>91</v>
      </c>
      <c r="E70" s="38" t="s">
        <v>92</v>
      </c>
      <c r="F70" s="38">
        <v>2023</v>
      </c>
      <c r="G70" s="23" t="s">
        <v>43</v>
      </c>
      <c r="H70" s="23" t="s">
        <v>66</v>
      </c>
      <c r="I70" s="23" t="s">
        <v>31</v>
      </c>
      <c r="J70" s="38" t="s">
        <v>32</v>
      </c>
      <c r="K70" s="23">
        <v>1</v>
      </c>
      <c r="L70" s="23">
        <v>6</v>
      </c>
      <c r="M70" s="23">
        <v>475</v>
      </c>
      <c r="N70" s="29">
        <v>2850</v>
      </c>
      <c r="O70" s="23" t="s">
        <v>31</v>
      </c>
      <c r="P70" s="38" t="s">
        <v>33</v>
      </c>
      <c r="Q70" s="38">
        <v>1620.75</v>
      </c>
      <c r="R70" s="38">
        <v>2</v>
      </c>
      <c r="S70" s="23" t="s">
        <v>31</v>
      </c>
      <c r="T70" s="23" t="s">
        <v>31</v>
      </c>
      <c r="U70" s="38" t="s">
        <v>93</v>
      </c>
      <c r="V70" s="38">
        <v>1.5</v>
      </c>
      <c r="W70" s="38" t="s">
        <v>94</v>
      </c>
      <c r="X70" s="38" t="s">
        <v>31</v>
      </c>
      <c r="Y70" s="38" t="s">
        <v>95</v>
      </c>
    </row>
    <row r="71" spans="1:25" x14ac:dyDescent="0.2">
      <c r="A71" s="37" t="s">
        <v>90</v>
      </c>
      <c r="B71" s="38" t="s">
        <v>25</v>
      </c>
      <c r="C71" s="38" t="s">
        <v>26</v>
      </c>
      <c r="D71" s="38" t="s">
        <v>91</v>
      </c>
      <c r="E71" s="38" t="s">
        <v>92</v>
      </c>
      <c r="F71" s="38">
        <v>2023</v>
      </c>
      <c r="G71" s="23" t="s">
        <v>114</v>
      </c>
      <c r="H71" s="23" t="s">
        <v>66</v>
      </c>
      <c r="I71" s="23" t="s">
        <v>31</v>
      </c>
      <c r="J71" s="38" t="s">
        <v>32</v>
      </c>
      <c r="K71" s="23">
        <v>1</v>
      </c>
      <c r="L71" s="23">
        <v>6</v>
      </c>
      <c r="M71" s="23">
        <v>475</v>
      </c>
      <c r="N71" s="29">
        <v>2850</v>
      </c>
      <c r="O71" s="23" t="s">
        <v>31</v>
      </c>
      <c r="P71" s="38" t="s">
        <v>33</v>
      </c>
      <c r="Q71" s="38">
        <v>1620.75</v>
      </c>
      <c r="R71" s="38">
        <v>2</v>
      </c>
      <c r="S71" s="23" t="s">
        <v>31</v>
      </c>
      <c r="T71" s="23" t="s">
        <v>31</v>
      </c>
      <c r="U71" s="38" t="s">
        <v>93</v>
      </c>
      <c r="V71" s="38">
        <v>1.5</v>
      </c>
      <c r="W71" s="38" t="s">
        <v>94</v>
      </c>
      <c r="X71" s="38" t="s">
        <v>31</v>
      </c>
      <c r="Y71" s="38" t="s">
        <v>95</v>
      </c>
    </row>
    <row r="72" spans="1:25" x14ac:dyDescent="0.2">
      <c r="A72" s="37" t="s">
        <v>90</v>
      </c>
      <c r="B72" s="38" t="s">
        <v>25</v>
      </c>
      <c r="C72" s="38" t="s">
        <v>26</v>
      </c>
      <c r="D72" s="38" t="s">
        <v>91</v>
      </c>
      <c r="E72" s="38" t="s">
        <v>92</v>
      </c>
      <c r="F72" s="38">
        <v>2023</v>
      </c>
      <c r="G72" s="23" t="s">
        <v>115</v>
      </c>
      <c r="H72" s="23" t="s">
        <v>66</v>
      </c>
      <c r="I72" s="23" t="s">
        <v>31</v>
      </c>
      <c r="J72" s="38" t="s">
        <v>32</v>
      </c>
      <c r="K72" s="23">
        <v>1</v>
      </c>
      <c r="L72" s="23">
        <v>6</v>
      </c>
      <c r="M72" s="23">
        <v>475</v>
      </c>
      <c r="N72" s="29">
        <v>2850</v>
      </c>
      <c r="O72" s="23" t="s">
        <v>31</v>
      </c>
      <c r="P72" s="38" t="s">
        <v>33</v>
      </c>
      <c r="Q72" s="38">
        <v>1620.75</v>
      </c>
      <c r="R72" s="38">
        <v>2</v>
      </c>
      <c r="S72" s="23" t="s">
        <v>31</v>
      </c>
      <c r="T72" s="23" t="s">
        <v>31</v>
      </c>
      <c r="U72" s="38" t="s">
        <v>93</v>
      </c>
      <c r="V72" s="38">
        <v>1.5</v>
      </c>
      <c r="W72" s="38" t="s">
        <v>94</v>
      </c>
      <c r="X72" s="38" t="s">
        <v>31</v>
      </c>
      <c r="Y72" s="38" t="s">
        <v>95</v>
      </c>
    </row>
    <row r="73" spans="1:25" x14ac:dyDescent="0.2">
      <c r="A73" s="37" t="s">
        <v>90</v>
      </c>
      <c r="B73" s="38" t="s">
        <v>25</v>
      </c>
      <c r="C73" s="38" t="s">
        <v>26</v>
      </c>
      <c r="D73" s="38" t="s">
        <v>91</v>
      </c>
      <c r="E73" s="38" t="s">
        <v>92</v>
      </c>
      <c r="F73" s="38">
        <v>2023</v>
      </c>
      <c r="G73" s="23" t="s">
        <v>37</v>
      </c>
      <c r="H73" s="23" t="s">
        <v>66</v>
      </c>
      <c r="I73" s="23" t="s">
        <v>31</v>
      </c>
      <c r="J73" s="38" t="s">
        <v>32</v>
      </c>
      <c r="K73" s="23">
        <v>1</v>
      </c>
      <c r="L73" s="23">
        <v>6</v>
      </c>
      <c r="M73" s="23">
        <v>475</v>
      </c>
      <c r="N73" s="29">
        <v>2850</v>
      </c>
      <c r="O73" s="23" t="s">
        <v>31</v>
      </c>
      <c r="P73" s="38" t="s">
        <v>33</v>
      </c>
      <c r="Q73" s="38">
        <v>1620.75</v>
      </c>
      <c r="R73" s="38">
        <v>2</v>
      </c>
      <c r="S73" s="23" t="s">
        <v>31</v>
      </c>
      <c r="T73" s="23" t="s">
        <v>31</v>
      </c>
      <c r="U73" s="38" t="s">
        <v>93</v>
      </c>
      <c r="V73" s="38">
        <v>1.5</v>
      </c>
      <c r="W73" s="38" t="s">
        <v>94</v>
      </c>
      <c r="X73" s="38" t="s">
        <v>31</v>
      </c>
      <c r="Y73" s="38" t="s">
        <v>95</v>
      </c>
    </row>
    <row r="74" spans="1:25" x14ac:dyDescent="0.2">
      <c r="A74" s="37" t="s">
        <v>90</v>
      </c>
      <c r="B74" s="38" t="s">
        <v>25</v>
      </c>
      <c r="C74" s="38" t="s">
        <v>26</v>
      </c>
      <c r="D74" s="38" t="s">
        <v>91</v>
      </c>
      <c r="E74" s="38" t="s">
        <v>92</v>
      </c>
      <c r="F74" s="38">
        <v>2023</v>
      </c>
      <c r="G74" s="23" t="s">
        <v>116</v>
      </c>
      <c r="H74" s="23" t="s">
        <v>66</v>
      </c>
      <c r="I74" s="23" t="s">
        <v>31</v>
      </c>
      <c r="J74" s="38" t="s">
        <v>32</v>
      </c>
      <c r="K74" s="23">
        <v>1</v>
      </c>
      <c r="L74" s="23">
        <v>6</v>
      </c>
      <c r="M74" s="23">
        <v>475</v>
      </c>
      <c r="N74" s="29">
        <v>2850</v>
      </c>
      <c r="O74" s="23" t="s">
        <v>31</v>
      </c>
      <c r="P74" s="38" t="s">
        <v>33</v>
      </c>
      <c r="Q74" s="38">
        <v>1620.75</v>
      </c>
      <c r="R74" s="38">
        <v>2</v>
      </c>
      <c r="S74" s="23" t="s">
        <v>31</v>
      </c>
      <c r="T74" s="23" t="s">
        <v>31</v>
      </c>
      <c r="U74" s="38" t="s">
        <v>93</v>
      </c>
      <c r="V74" s="38">
        <v>1.5</v>
      </c>
      <c r="W74" s="38" t="s">
        <v>94</v>
      </c>
      <c r="X74" s="38" t="s">
        <v>31</v>
      </c>
      <c r="Y74" s="38" t="s">
        <v>95</v>
      </c>
    </row>
    <row r="75" spans="1:25" x14ac:dyDescent="0.2">
      <c r="A75" s="37" t="s">
        <v>90</v>
      </c>
      <c r="B75" s="38" t="s">
        <v>25</v>
      </c>
      <c r="C75" s="38" t="s">
        <v>26</v>
      </c>
      <c r="D75" s="38" t="s">
        <v>91</v>
      </c>
      <c r="E75" s="38" t="s">
        <v>92</v>
      </c>
      <c r="F75" s="38">
        <v>2023</v>
      </c>
      <c r="G75" s="23" t="s">
        <v>117</v>
      </c>
      <c r="H75" s="23" t="s">
        <v>66</v>
      </c>
      <c r="I75" s="23" t="s">
        <v>31</v>
      </c>
      <c r="J75" s="38" t="s">
        <v>32</v>
      </c>
      <c r="K75" s="23">
        <v>2</v>
      </c>
      <c r="L75" s="23">
        <v>10</v>
      </c>
      <c r="M75" s="23">
        <v>475</v>
      </c>
      <c r="N75" s="29">
        <v>4750</v>
      </c>
      <c r="O75" s="23" t="s">
        <v>31</v>
      </c>
      <c r="P75" s="38" t="s">
        <v>33</v>
      </c>
      <c r="Q75" s="38">
        <v>1620.75</v>
      </c>
      <c r="R75" s="38">
        <v>4</v>
      </c>
      <c r="S75" s="23" t="s">
        <v>31</v>
      </c>
      <c r="T75" s="23" t="s">
        <v>31</v>
      </c>
      <c r="U75" s="38" t="s">
        <v>93</v>
      </c>
      <c r="V75" s="38">
        <v>3</v>
      </c>
      <c r="W75" s="38" t="s">
        <v>94</v>
      </c>
      <c r="X75" s="38" t="s">
        <v>31</v>
      </c>
      <c r="Y75" s="38" t="s">
        <v>95</v>
      </c>
    </row>
    <row r="76" spans="1:25" x14ac:dyDescent="0.2">
      <c r="A76" s="37" t="s">
        <v>90</v>
      </c>
      <c r="B76" s="38" t="s">
        <v>25</v>
      </c>
      <c r="C76" s="38" t="s">
        <v>26</v>
      </c>
      <c r="D76" s="38" t="s">
        <v>91</v>
      </c>
      <c r="E76" s="38" t="s">
        <v>92</v>
      </c>
      <c r="F76" s="38">
        <v>2023</v>
      </c>
      <c r="G76" s="23" t="s">
        <v>118</v>
      </c>
      <c r="H76" s="23" t="s">
        <v>66</v>
      </c>
      <c r="I76" s="23" t="s">
        <v>31</v>
      </c>
      <c r="J76" s="38" t="s">
        <v>32</v>
      </c>
      <c r="K76" s="23">
        <v>1</v>
      </c>
      <c r="L76" s="23">
        <v>6</v>
      </c>
      <c r="M76" s="23">
        <v>475</v>
      </c>
      <c r="N76" s="29">
        <v>2850</v>
      </c>
      <c r="O76" s="23" t="s">
        <v>31</v>
      </c>
      <c r="P76" s="38" t="s">
        <v>33</v>
      </c>
      <c r="Q76" s="38">
        <v>1620.75</v>
      </c>
      <c r="R76" s="38">
        <v>2</v>
      </c>
      <c r="S76" s="23" t="s">
        <v>31</v>
      </c>
      <c r="T76" s="23" t="s">
        <v>31</v>
      </c>
      <c r="U76" s="38" t="s">
        <v>93</v>
      </c>
      <c r="V76" s="38">
        <v>1.5</v>
      </c>
      <c r="W76" s="38" t="s">
        <v>94</v>
      </c>
      <c r="X76" s="38" t="s">
        <v>31</v>
      </c>
      <c r="Y76" s="38" t="s">
        <v>95</v>
      </c>
    </row>
    <row r="77" spans="1:25" x14ac:dyDescent="0.2">
      <c r="A77" s="37" t="s">
        <v>90</v>
      </c>
      <c r="B77" s="38" t="s">
        <v>25</v>
      </c>
      <c r="C77" s="38" t="s">
        <v>26</v>
      </c>
      <c r="D77" s="38" t="s">
        <v>91</v>
      </c>
      <c r="E77" s="38" t="s">
        <v>92</v>
      </c>
      <c r="F77" s="38">
        <v>2023</v>
      </c>
      <c r="G77" s="23" t="s">
        <v>119</v>
      </c>
      <c r="H77" s="23" t="s">
        <v>66</v>
      </c>
      <c r="I77" s="23" t="s">
        <v>31</v>
      </c>
      <c r="J77" s="38" t="s">
        <v>32</v>
      </c>
      <c r="K77" s="23">
        <v>1</v>
      </c>
      <c r="L77" s="23">
        <v>6</v>
      </c>
      <c r="M77" s="23">
        <v>475</v>
      </c>
      <c r="N77" s="29">
        <v>2850</v>
      </c>
      <c r="O77" s="23" t="s">
        <v>31</v>
      </c>
      <c r="P77" s="38" t="s">
        <v>33</v>
      </c>
      <c r="Q77" s="38">
        <v>1620.75</v>
      </c>
      <c r="R77" s="38">
        <v>2</v>
      </c>
      <c r="S77" s="23" t="s">
        <v>31</v>
      </c>
      <c r="T77" s="23" t="s">
        <v>31</v>
      </c>
      <c r="U77" s="38" t="s">
        <v>93</v>
      </c>
      <c r="V77" s="38">
        <v>1.5</v>
      </c>
      <c r="W77" s="38" t="s">
        <v>94</v>
      </c>
      <c r="X77" s="38" t="s">
        <v>31</v>
      </c>
      <c r="Y77" s="38" t="s">
        <v>95</v>
      </c>
    </row>
    <row r="78" spans="1:25" x14ac:dyDescent="0.2">
      <c r="A78" s="37" t="s">
        <v>90</v>
      </c>
      <c r="B78" s="38" t="s">
        <v>25</v>
      </c>
      <c r="C78" s="38" t="s">
        <v>26</v>
      </c>
      <c r="D78" s="38" t="s">
        <v>91</v>
      </c>
      <c r="E78" s="38" t="s">
        <v>92</v>
      </c>
      <c r="F78" s="38">
        <v>2023</v>
      </c>
      <c r="G78" s="23" t="s">
        <v>120</v>
      </c>
      <c r="H78" s="23" t="s">
        <v>66</v>
      </c>
      <c r="I78" s="23" t="s">
        <v>31</v>
      </c>
      <c r="J78" s="38" t="s">
        <v>32</v>
      </c>
      <c r="K78" s="23">
        <v>1</v>
      </c>
      <c r="L78" s="23">
        <v>10</v>
      </c>
      <c r="M78" s="23">
        <v>475</v>
      </c>
      <c r="N78" s="29">
        <v>4750</v>
      </c>
      <c r="O78" s="23" t="s">
        <v>31</v>
      </c>
      <c r="P78" s="38" t="s">
        <v>33</v>
      </c>
      <c r="Q78" s="38">
        <v>1620.75</v>
      </c>
      <c r="R78" s="38">
        <v>2</v>
      </c>
      <c r="S78" s="23" t="s">
        <v>31</v>
      </c>
      <c r="T78" s="23" t="s">
        <v>31</v>
      </c>
      <c r="U78" s="38" t="s">
        <v>93</v>
      </c>
      <c r="V78" s="38">
        <v>1.5</v>
      </c>
      <c r="W78" s="38" t="s">
        <v>94</v>
      </c>
      <c r="X78" s="38" t="s">
        <v>31</v>
      </c>
      <c r="Y78" s="38" t="s">
        <v>95</v>
      </c>
    </row>
    <row r="79" spans="1:25" x14ac:dyDescent="0.2">
      <c r="A79" s="37" t="s">
        <v>90</v>
      </c>
      <c r="B79" s="38" t="s">
        <v>25</v>
      </c>
      <c r="C79" s="38" t="s">
        <v>26</v>
      </c>
      <c r="D79" s="38" t="s">
        <v>91</v>
      </c>
      <c r="E79" s="38" t="s">
        <v>92</v>
      </c>
      <c r="F79" s="38">
        <v>2023</v>
      </c>
      <c r="G79" s="23" t="s">
        <v>121</v>
      </c>
      <c r="H79" s="23" t="s">
        <v>66</v>
      </c>
      <c r="I79" s="23" t="s">
        <v>31</v>
      </c>
      <c r="J79" s="38" t="s">
        <v>32</v>
      </c>
      <c r="K79" s="23">
        <v>1</v>
      </c>
      <c r="L79" s="23">
        <v>6</v>
      </c>
      <c r="M79" s="23">
        <v>475</v>
      </c>
      <c r="N79" s="29">
        <v>2850</v>
      </c>
      <c r="O79" s="23" t="s">
        <v>31</v>
      </c>
      <c r="P79" s="38" t="s">
        <v>33</v>
      </c>
      <c r="Q79" s="38">
        <v>1620.75</v>
      </c>
      <c r="R79" s="38">
        <v>2</v>
      </c>
      <c r="S79" s="23" t="s">
        <v>31</v>
      </c>
      <c r="T79" s="23" t="s">
        <v>31</v>
      </c>
      <c r="U79" s="38" t="s">
        <v>93</v>
      </c>
      <c r="V79" s="38">
        <v>1.5</v>
      </c>
      <c r="W79" s="38" t="s">
        <v>94</v>
      </c>
      <c r="X79" s="38" t="s">
        <v>31</v>
      </c>
      <c r="Y79" s="38" t="s">
        <v>95</v>
      </c>
    </row>
    <row r="80" spans="1:25" x14ac:dyDescent="0.2">
      <c r="A80" s="37" t="s">
        <v>90</v>
      </c>
      <c r="B80" s="38" t="s">
        <v>25</v>
      </c>
      <c r="C80" s="38" t="s">
        <v>26</v>
      </c>
      <c r="D80" s="38" t="s">
        <v>91</v>
      </c>
      <c r="E80" s="38" t="s">
        <v>92</v>
      </c>
      <c r="F80" s="38">
        <v>2023</v>
      </c>
      <c r="G80" s="23" t="s">
        <v>122</v>
      </c>
      <c r="H80" s="23" t="s">
        <v>66</v>
      </c>
      <c r="I80" s="23" t="s">
        <v>31</v>
      </c>
      <c r="J80" s="38" t="s">
        <v>32</v>
      </c>
      <c r="K80" s="23">
        <v>1</v>
      </c>
      <c r="L80" s="23">
        <v>6</v>
      </c>
      <c r="M80" s="23">
        <v>475</v>
      </c>
      <c r="N80" s="29">
        <v>2850</v>
      </c>
      <c r="O80" s="23" t="s">
        <v>31</v>
      </c>
      <c r="P80" s="38" t="s">
        <v>33</v>
      </c>
      <c r="Q80" s="38">
        <v>1620.75</v>
      </c>
      <c r="R80" s="38">
        <v>2</v>
      </c>
      <c r="S80" s="23" t="s">
        <v>31</v>
      </c>
      <c r="T80" s="23" t="s">
        <v>31</v>
      </c>
      <c r="U80" s="38" t="s">
        <v>93</v>
      </c>
      <c r="V80" s="38">
        <v>1.5</v>
      </c>
      <c r="W80" s="38" t="s">
        <v>94</v>
      </c>
      <c r="X80" s="38" t="s">
        <v>31</v>
      </c>
      <c r="Y80" s="38" t="s">
        <v>95</v>
      </c>
    </row>
    <row r="81" spans="1:25" x14ac:dyDescent="0.2">
      <c r="A81" s="37" t="s">
        <v>90</v>
      </c>
      <c r="B81" s="38" t="s">
        <v>25</v>
      </c>
      <c r="C81" s="38" t="s">
        <v>26</v>
      </c>
      <c r="D81" s="38" t="s">
        <v>91</v>
      </c>
      <c r="E81" s="38" t="s">
        <v>92</v>
      </c>
      <c r="F81" s="38">
        <v>2023</v>
      </c>
      <c r="G81" s="23" t="s">
        <v>46</v>
      </c>
      <c r="H81" s="23" t="s">
        <v>66</v>
      </c>
      <c r="I81" s="23" t="s">
        <v>31</v>
      </c>
      <c r="J81" s="38" t="s">
        <v>32</v>
      </c>
      <c r="K81" s="23">
        <v>1</v>
      </c>
      <c r="L81" s="23">
        <v>6</v>
      </c>
      <c r="M81" s="23">
        <v>475</v>
      </c>
      <c r="N81" s="29">
        <v>2850</v>
      </c>
      <c r="O81" s="23" t="s">
        <v>31</v>
      </c>
      <c r="P81" s="38" t="s">
        <v>33</v>
      </c>
      <c r="Q81" s="38">
        <v>1620.75</v>
      </c>
      <c r="R81" s="38">
        <v>2</v>
      </c>
      <c r="S81" s="23" t="s">
        <v>31</v>
      </c>
      <c r="T81" s="23" t="s">
        <v>31</v>
      </c>
      <c r="U81" s="38" t="s">
        <v>93</v>
      </c>
      <c r="V81" s="38">
        <v>1.5</v>
      </c>
      <c r="W81" s="38" t="s">
        <v>94</v>
      </c>
      <c r="X81" s="38" t="s">
        <v>31</v>
      </c>
      <c r="Y81" s="38" t="s">
        <v>95</v>
      </c>
    </row>
    <row r="82" spans="1:25" x14ac:dyDescent="0.2">
      <c r="A82" s="37" t="s">
        <v>90</v>
      </c>
      <c r="B82" s="38" t="s">
        <v>25</v>
      </c>
      <c r="C82" s="38" t="s">
        <v>26</v>
      </c>
      <c r="D82" s="38" t="s">
        <v>91</v>
      </c>
      <c r="E82" s="38" t="s">
        <v>92</v>
      </c>
      <c r="F82" s="38">
        <v>2023</v>
      </c>
      <c r="G82" s="23" t="s">
        <v>72</v>
      </c>
      <c r="H82" s="23" t="s">
        <v>66</v>
      </c>
      <c r="I82" s="23" t="s">
        <v>31</v>
      </c>
      <c r="J82" s="38" t="s">
        <v>32</v>
      </c>
      <c r="K82" s="23">
        <v>1</v>
      </c>
      <c r="L82" s="23">
        <v>6</v>
      </c>
      <c r="M82" s="23">
        <v>475</v>
      </c>
      <c r="N82" s="29">
        <v>2850</v>
      </c>
      <c r="O82" s="23" t="s">
        <v>31</v>
      </c>
      <c r="P82" s="38" t="s">
        <v>33</v>
      </c>
      <c r="Q82" s="38">
        <v>1620.75</v>
      </c>
      <c r="R82" s="38">
        <v>2</v>
      </c>
      <c r="S82" s="23" t="s">
        <v>31</v>
      </c>
      <c r="T82" s="23" t="s">
        <v>31</v>
      </c>
      <c r="U82" s="38" t="s">
        <v>93</v>
      </c>
      <c r="V82" s="38">
        <v>1.5</v>
      </c>
      <c r="W82" s="38" t="s">
        <v>94</v>
      </c>
      <c r="X82" s="38" t="s">
        <v>31</v>
      </c>
      <c r="Y82" s="38" t="s">
        <v>95</v>
      </c>
    </row>
    <row r="83" spans="1:25" x14ac:dyDescent="0.2">
      <c r="A83" s="37" t="s">
        <v>90</v>
      </c>
      <c r="B83" s="38" t="s">
        <v>25</v>
      </c>
      <c r="C83" s="38" t="s">
        <v>26</v>
      </c>
      <c r="D83" s="38" t="s">
        <v>91</v>
      </c>
      <c r="E83" s="38" t="s">
        <v>92</v>
      </c>
      <c r="F83" s="38">
        <v>2023</v>
      </c>
      <c r="G83" s="23" t="s">
        <v>123</v>
      </c>
      <c r="H83" s="23" t="s">
        <v>66</v>
      </c>
      <c r="I83" s="23" t="s">
        <v>31</v>
      </c>
      <c r="J83" s="38" t="s">
        <v>32</v>
      </c>
      <c r="K83" s="23">
        <v>1</v>
      </c>
      <c r="L83" s="23">
        <v>6</v>
      </c>
      <c r="M83" s="23">
        <v>475</v>
      </c>
      <c r="N83" s="29">
        <v>2850</v>
      </c>
      <c r="O83" s="23" t="s">
        <v>31</v>
      </c>
      <c r="P83" s="38" t="s">
        <v>33</v>
      </c>
      <c r="Q83" s="38">
        <v>1620.75</v>
      </c>
      <c r="R83" s="38">
        <v>2</v>
      </c>
      <c r="S83" s="23" t="s">
        <v>31</v>
      </c>
      <c r="T83" s="23" t="s">
        <v>31</v>
      </c>
      <c r="U83" s="38" t="s">
        <v>93</v>
      </c>
      <c r="V83" s="38">
        <v>1.5</v>
      </c>
      <c r="W83" s="38" t="s">
        <v>94</v>
      </c>
      <c r="X83" s="38" t="s">
        <v>31</v>
      </c>
      <c r="Y83" s="38" t="s">
        <v>95</v>
      </c>
    </row>
    <row r="84" spans="1:25" x14ac:dyDescent="0.2">
      <c r="A84" s="37" t="s">
        <v>90</v>
      </c>
      <c r="B84" s="38" t="s">
        <v>25</v>
      </c>
      <c r="C84" s="38" t="s">
        <v>26</v>
      </c>
      <c r="D84" s="38" t="s">
        <v>91</v>
      </c>
      <c r="E84" s="38" t="s">
        <v>92</v>
      </c>
      <c r="F84" s="38">
        <v>2023</v>
      </c>
      <c r="G84" s="23" t="s">
        <v>80</v>
      </c>
      <c r="H84" s="23" t="s">
        <v>66</v>
      </c>
      <c r="I84" s="23" t="s">
        <v>31</v>
      </c>
      <c r="J84" s="38" t="s">
        <v>32</v>
      </c>
      <c r="K84" s="23">
        <v>1</v>
      </c>
      <c r="L84" s="23">
        <v>6</v>
      </c>
      <c r="M84" s="23">
        <v>475</v>
      </c>
      <c r="N84" s="29">
        <v>2850</v>
      </c>
      <c r="O84" s="23" t="s">
        <v>31</v>
      </c>
      <c r="P84" s="38" t="s">
        <v>33</v>
      </c>
      <c r="Q84" s="38">
        <v>1620.75</v>
      </c>
      <c r="R84" s="38">
        <v>2</v>
      </c>
      <c r="S84" s="23" t="s">
        <v>31</v>
      </c>
      <c r="T84" s="23" t="s">
        <v>31</v>
      </c>
      <c r="U84" s="38" t="s">
        <v>93</v>
      </c>
      <c r="V84" s="38">
        <v>1.5</v>
      </c>
      <c r="W84" s="38" t="s">
        <v>94</v>
      </c>
      <c r="X84" s="38" t="s">
        <v>31</v>
      </c>
      <c r="Y84" s="38" t="s">
        <v>95</v>
      </c>
    </row>
    <row r="85" spans="1:25" x14ac:dyDescent="0.2">
      <c r="A85" s="37" t="s">
        <v>90</v>
      </c>
      <c r="B85" s="38" t="s">
        <v>25</v>
      </c>
      <c r="C85" s="38" t="s">
        <v>26</v>
      </c>
      <c r="D85" s="38" t="s">
        <v>91</v>
      </c>
      <c r="E85" s="38" t="s">
        <v>92</v>
      </c>
      <c r="F85" s="38">
        <v>2023</v>
      </c>
      <c r="G85" s="23" t="s">
        <v>124</v>
      </c>
      <c r="H85" s="23" t="s">
        <v>66</v>
      </c>
      <c r="I85" s="23" t="s">
        <v>31</v>
      </c>
      <c r="J85" s="38" t="s">
        <v>32</v>
      </c>
      <c r="K85" s="23">
        <v>1</v>
      </c>
      <c r="L85" s="23">
        <v>6</v>
      </c>
      <c r="M85" s="23">
        <v>475</v>
      </c>
      <c r="N85" s="29">
        <v>2850</v>
      </c>
      <c r="O85" s="23" t="s">
        <v>31</v>
      </c>
      <c r="P85" s="38" t="s">
        <v>33</v>
      </c>
      <c r="Q85" s="38">
        <v>1620.75</v>
      </c>
      <c r="R85" s="38">
        <v>2</v>
      </c>
      <c r="S85" s="23" t="s">
        <v>31</v>
      </c>
      <c r="T85" s="23" t="s">
        <v>31</v>
      </c>
      <c r="U85" s="38" t="s">
        <v>93</v>
      </c>
      <c r="V85" s="38">
        <v>1.5</v>
      </c>
      <c r="W85" s="38" t="s">
        <v>94</v>
      </c>
      <c r="X85" s="38" t="s">
        <v>31</v>
      </c>
      <c r="Y85" s="38" t="s">
        <v>95</v>
      </c>
    </row>
    <row r="86" spans="1:25" x14ac:dyDescent="0.2">
      <c r="A86" s="37" t="s">
        <v>90</v>
      </c>
      <c r="B86" s="38" t="s">
        <v>25</v>
      </c>
      <c r="C86" s="38" t="s">
        <v>26</v>
      </c>
      <c r="D86" s="38" t="s">
        <v>91</v>
      </c>
      <c r="E86" s="38" t="s">
        <v>92</v>
      </c>
      <c r="F86" s="38">
        <v>2023</v>
      </c>
      <c r="G86" s="23" t="s">
        <v>125</v>
      </c>
      <c r="H86" s="23" t="s">
        <v>66</v>
      </c>
      <c r="I86" s="23" t="s">
        <v>31</v>
      </c>
      <c r="J86" s="38" t="s">
        <v>32</v>
      </c>
      <c r="K86" s="23">
        <v>1</v>
      </c>
      <c r="L86" s="23">
        <v>6</v>
      </c>
      <c r="M86" s="23">
        <v>475</v>
      </c>
      <c r="N86" s="29">
        <v>2850</v>
      </c>
      <c r="O86" s="23" t="s">
        <v>31</v>
      </c>
      <c r="P86" s="38" t="s">
        <v>33</v>
      </c>
      <c r="Q86" s="38">
        <v>1620.75</v>
      </c>
      <c r="R86" s="38">
        <v>2</v>
      </c>
      <c r="S86" s="23" t="s">
        <v>31</v>
      </c>
      <c r="T86" s="23" t="s">
        <v>31</v>
      </c>
      <c r="U86" s="38" t="s">
        <v>93</v>
      </c>
      <c r="V86" s="38">
        <v>1.5</v>
      </c>
      <c r="W86" s="38" t="s">
        <v>94</v>
      </c>
      <c r="X86" s="38" t="s">
        <v>31</v>
      </c>
      <c r="Y86" s="38" t="s">
        <v>95</v>
      </c>
    </row>
    <row r="87" spans="1:25" x14ac:dyDescent="0.2">
      <c r="A87" s="37" t="s">
        <v>90</v>
      </c>
      <c r="B87" s="38" t="s">
        <v>25</v>
      </c>
      <c r="C87" s="38" t="s">
        <v>26</v>
      </c>
      <c r="D87" s="38" t="s">
        <v>91</v>
      </c>
      <c r="E87" s="38" t="s">
        <v>92</v>
      </c>
      <c r="F87" s="38">
        <v>2023</v>
      </c>
      <c r="G87" s="23" t="s">
        <v>126</v>
      </c>
      <c r="H87" s="23" t="s">
        <v>66</v>
      </c>
      <c r="I87" s="23" t="s">
        <v>31</v>
      </c>
      <c r="J87" s="38" t="s">
        <v>32</v>
      </c>
      <c r="K87" s="23">
        <v>1</v>
      </c>
      <c r="L87" s="23">
        <v>6</v>
      </c>
      <c r="M87" s="23">
        <v>475</v>
      </c>
      <c r="N87" s="29">
        <v>2850</v>
      </c>
      <c r="O87" s="23" t="s">
        <v>31</v>
      </c>
      <c r="P87" s="38" t="s">
        <v>33</v>
      </c>
      <c r="Q87" s="38">
        <v>1620.75</v>
      </c>
      <c r="R87" s="38">
        <v>2</v>
      </c>
      <c r="S87" s="23" t="s">
        <v>31</v>
      </c>
      <c r="T87" s="23" t="s">
        <v>31</v>
      </c>
      <c r="U87" s="38" t="s">
        <v>93</v>
      </c>
      <c r="V87" s="38">
        <v>1.5</v>
      </c>
      <c r="W87" s="38" t="s">
        <v>94</v>
      </c>
      <c r="X87" s="38" t="s">
        <v>31</v>
      </c>
      <c r="Y87" s="38" t="s">
        <v>95</v>
      </c>
    </row>
    <row r="88" spans="1:25" x14ac:dyDescent="0.2">
      <c r="A88" s="37" t="s">
        <v>90</v>
      </c>
      <c r="B88" s="38" t="s">
        <v>25</v>
      </c>
      <c r="C88" s="38" t="s">
        <v>26</v>
      </c>
      <c r="D88" s="38" t="s">
        <v>91</v>
      </c>
      <c r="E88" s="38" t="s">
        <v>92</v>
      </c>
      <c r="F88" s="38">
        <v>2023</v>
      </c>
      <c r="G88" s="23" t="s">
        <v>127</v>
      </c>
      <c r="H88" s="23" t="s">
        <v>127</v>
      </c>
      <c r="I88" s="23" t="s">
        <v>31</v>
      </c>
      <c r="J88" s="38" t="s">
        <v>32</v>
      </c>
      <c r="K88" s="23">
        <v>1</v>
      </c>
      <c r="L88" s="23">
        <v>6</v>
      </c>
      <c r="M88" s="23">
        <v>475</v>
      </c>
      <c r="N88" s="29">
        <v>2850</v>
      </c>
      <c r="O88" s="23" t="s">
        <v>31</v>
      </c>
      <c r="P88" s="38" t="s">
        <v>33</v>
      </c>
      <c r="Q88" s="38">
        <v>1620.75</v>
      </c>
      <c r="R88" s="38">
        <v>2</v>
      </c>
      <c r="S88" s="23" t="s">
        <v>31</v>
      </c>
      <c r="T88" s="23" t="s">
        <v>31</v>
      </c>
      <c r="U88" s="38" t="s">
        <v>93</v>
      </c>
      <c r="V88" s="38">
        <v>1.5</v>
      </c>
      <c r="W88" s="38" t="s">
        <v>94</v>
      </c>
      <c r="X88" s="38" t="s">
        <v>31</v>
      </c>
      <c r="Y88" s="38" t="s">
        <v>95</v>
      </c>
    </row>
    <row r="89" spans="1:25" x14ac:dyDescent="0.2">
      <c r="A89" s="37" t="s">
        <v>90</v>
      </c>
      <c r="B89" s="38" t="s">
        <v>25</v>
      </c>
      <c r="C89" s="38" t="s">
        <v>26</v>
      </c>
      <c r="D89" s="38" t="s">
        <v>91</v>
      </c>
      <c r="E89" s="38" t="s">
        <v>92</v>
      </c>
      <c r="F89" s="38">
        <v>2023</v>
      </c>
      <c r="G89" s="23" t="s">
        <v>128</v>
      </c>
      <c r="H89" s="23" t="s">
        <v>128</v>
      </c>
      <c r="I89" s="23" t="s">
        <v>31</v>
      </c>
      <c r="J89" s="38" t="s">
        <v>32</v>
      </c>
      <c r="K89" s="23">
        <v>1</v>
      </c>
      <c r="L89" s="23">
        <v>6</v>
      </c>
      <c r="M89" s="23">
        <v>475</v>
      </c>
      <c r="N89" s="29">
        <v>2850</v>
      </c>
      <c r="O89" s="23" t="s">
        <v>31</v>
      </c>
      <c r="P89" s="38" t="s">
        <v>33</v>
      </c>
      <c r="Q89" s="38">
        <v>1620.75</v>
      </c>
      <c r="R89" s="38">
        <v>2</v>
      </c>
      <c r="S89" s="23" t="s">
        <v>31</v>
      </c>
      <c r="T89" s="23" t="s">
        <v>31</v>
      </c>
      <c r="U89" s="38" t="s">
        <v>93</v>
      </c>
      <c r="V89" s="38">
        <v>1.5</v>
      </c>
      <c r="W89" s="38" t="s">
        <v>94</v>
      </c>
      <c r="X89" s="38" t="s">
        <v>31</v>
      </c>
      <c r="Y89" s="38" t="s">
        <v>95</v>
      </c>
    </row>
    <row r="90" spans="1:25" x14ac:dyDescent="0.2">
      <c r="A90" s="37" t="s">
        <v>90</v>
      </c>
      <c r="B90" s="38" t="s">
        <v>25</v>
      </c>
      <c r="C90" s="38" t="s">
        <v>26</v>
      </c>
      <c r="D90" s="38" t="s">
        <v>91</v>
      </c>
      <c r="E90" s="38" t="s">
        <v>92</v>
      </c>
      <c r="F90" s="38">
        <v>2023</v>
      </c>
      <c r="G90" s="23" t="s">
        <v>129</v>
      </c>
      <c r="H90" s="23" t="s">
        <v>129</v>
      </c>
      <c r="I90" s="23" t="s">
        <v>31</v>
      </c>
      <c r="J90" s="38" t="s">
        <v>32</v>
      </c>
      <c r="K90" s="23">
        <v>2</v>
      </c>
      <c r="L90" s="23">
        <v>10</v>
      </c>
      <c r="M90" s="23">
        <v>475</v>
      </c>
      <c r="N90" s="29">
        <v>4750</v>
      </c>
      <c r="O90" s="23" t="s">
        <v>31</v>
      </c>
      <c r="P90" s="38" t="s">
        <v>33</v>
      </c>
      <c r="Q90" s="38">
        <v>1620.75</v>
      </c>
      <c r="R90" s="38">
        <v>4</v>
      </c>
      <c r="S90" s="23" t="s">
        <v>31</v>
      </c>
      <c r="T90" s="23" t="s">
        <v>31</v>
      </c>
      <c r="U90" s="38" t="s">
        <v>93</v>
      </c>
      <c r="V90" s="38">
        <v>3</v>
      </c>
      <c r="W90" s="38" t="s">
        <v>94</v>
      </c>
      <c r="X90" s="38" t="s">
        <v>31</v>
      </c>
      <c r="Y90" s="38" t="s">
        <v>95</v>
      </c>
    </row>
    <row r="91" spans="1:25" x14ac:dyDescent="0.2">
      <c r="A91" s="37" t="s">
        <v>90</v>
      </c>
      <c r="B91" s="38" t="s">
        <v>25</v>
      </c>
      <c r="C91" s="38" t="s">
        <v>26</v>
      </c>
      <c r="D91" s="38" t="s">
        <v>91</v>
      </c>
      <c r="E91" s="38" t="s">
        <v>92</v>
      </c>
      <c r="F91" s="38">
        <v>2023</v>
      </c>
      <c r="G91" s="23" t="s">
        <v>130</v>
      </c>
      <c r="H91" s="23" t="s">
        <v>130</v>
      </c>
      <c r="I91" s="23" t="s">
        <v>31</v>
      </c>
      <c r="J91" s="38" t="s">
        <v>32</v>
      </c>
      <c r="K91" s="23">
        <v>1</v>
      </c>
      <c r="L91" s="23">
        <v>6</v>
      </c>
      <c r="M91" s="23">
        <v>475</v>
      </c>
      <c r="N91" s="29">
        <v>2850</v>
      </c>
      <c r="O91" s="23" t="s">
        <v>31</v>
      </c>
      <c r="P91" s="38" t="s">
        <v>33</v>
      </c>
      <c r="Q91" s="38">
        <v>1620.75</v>
      </c>
      <c r="R91" s="38">
        <v>2</v>
      </c>
      <c r="S91" s="23" t="s">
        <v>31</v>
      </c>
      <c r="T91" s="23" t="s">
        <v>31</v>
      </c>
      <c r="U91" s="38" t="s">
        <v>93</v>
      </c>
      <c r="V91" s="38">
        <v>1.5</v>
      </c>
      <c r="W91" s="38" t="s">
        <v>94</v>
      </c>
      <c r="X91" s="38" t="s">
        <v>31</v>
      </c>
      <c r="Y91" s="38" t="s">
        <v>95</v>
      </c>
    </row>
    <row r="92" spans="1:25" x14ac:dyDescent="0.2">
      <c r="A92" s="37" t="s">
        <v>90</v>
      </c>
      <c r="B92" s="38" t="s">
        <v>25</v>
      </c>
      <c r="C92" s="38" t="s">
        <v>26</v>
      </c>
      <c r="D92" s="38" t="s">
        <v>91</v>
      </c>
      <c r="E92" s="38" t="s">
        <v>92</v>
      </c>
      <c r="F92" s="38">
        <v>2023</v>
      </c>
      <c r="G92" s="23" t="s">
        <v>65</v>
      </c>
      <c r="H92" s="23" t="s">
        <v>65</v>
      </c>
      <c r="I92" s="23" t="s">
        <v>31</v>
      </c>
      <c r="J92" s="38" t="s">
        <v>32</v>
      </c>
      <c r="K92" s="23">
        <v>1</v>
      </c>
      <c r="L92" s="23">
        <v>6</v>
      </c>
      <c r="M92" s="23">
        <v>475</v>
      </c>
      <c r="N92" s="29">
        <v>2850</v>
      </c>
      <c r="O92" s="23" t="s">
        <v>31</v>
      </c>
      <c r="P92" s="38" t="s">
        <v>33</v>
      </c>
      <c r="Q92" s="38">
        <v>1620.75</v>
      </c>
      <c r="R92" s="38">
        <v>2</v>
      </c>
      <c r="S92" s="23" t="s">
        <v>31</v>
      </c>
      <c r="T92" s="23" t="s">
        <v>31</v>
      </c>
      <c r="U92" s="38" t="s">
        <v>93</v>
      </c>
      <c r="V92" s="38">
        <v>1.5</v>
      </c>
      <c r="W92" s="38" t="s">
        <v>94</v>
      </c>
      <c r="X92" s="38" t="s">
        <v>31</v>
      </c>
      <c r="Y92" s="38" t="s">
        <v>95</v>
      </c>
    </row>
    <row r="93" spans="1:25" x14ac:dyDescent="0.2">
      <c r="A93" s="37" t="s">
        <v>90</v>
      </c>
      <c r="B93" s="38" t="s">
        <v>25</v>
      </c>
      <c r="C93" s="38" t="s">
        <v>26</v>
      </c>
      <c r="D93" s="38" t="s">
        <v>91</v>
      </c>
      <c r="E93" s="38" t="s">
        <v>92</v>
      </c>
      <c r="F93" s="38">
        <v>2023</v>
      </c>
      <c r="G93" s="23" t="s">
        <v>131</v>
      </c>
      <c r="H93" s="23" t="s">
        <v>131</v>
      </c>
      <c r="I93" s="23" t="s">
        <v>31</v>
      </c>
      <c r="J93" s="38" t="s">
        <v>32</v>
      </c>
      <c r="K93" s="23">
        <v>1</v>
      </c>
      <c r="L93" s="23">
        <v>6</v>
      </c>
      <c r="M93" s="23">
        <v>475</v>
      </c>
      <c r="N93" s="29">
        <v>2850</v>
      </c>
      <c r="O93" s="23" t="s">
        <v>31</v>
      </c>
      <c r="P93" s="38" t="s">
        <v>33</v>
      </c>
      <c r="Q93" s="38">
        <v>1620.75</v>
      </c>
      <c r="R93" s="38">
        <v>2</v>
      </c>
      <c r="S93" s="23" t="s">
        <v>31</v>
      </c>
      <c r="T93" s="23" t="s">
        <v>31</v>
      </c>
      <c r="U93" s="38" t="s">
        <v>93</v>
      </c>
      <c r="V93" s="38">
        <v>1.5</v>
      </c>
      <c r="W93" s="38" t="s">
        <v>94</v>
      </c>
      <c r="X93" s="38" t="s">
        <v>31</v>
      </c>
      <c r="Y93" s="38" t="s">
        <v>95</v>
      </c>
    </row>
    <row r="94" spans="1:25" x14ac:dyDescent="0.2">
      <c r="A94" s="37" t="s">
        <v>90</v>
      </c>
      <c r="B94" s="38" t="s">
        <v>25</v>
      </c>
      <c r="C94" s="38" t="s">
        <v>26</v>
      </c>
      <c r="D94" s="38" t="s">
        <v>91</v>
      </c>
      <c r="E94" s="38" t="s">
        <v>92</v>
      </c>
      <c r="F94" s="38">
        <v>2023</v>
      </c>
      <c r="G94" s="23" t="s">
        <v>132</v>
      </c>
      <c r="H94" s="23" t="s">
        <v>132</v>
      </c>
      <c r="I94" s="23" t="s">
        <v>31</v>
      </c>
      <c r="J94" s="38" t="s">
        <v>32</v>
      </c>
      <c r="K94" s="23">
        <v>1</v>
      </c>
      <c r="L94" s="23">
        <v>6</v>
      </c>
      <c r="M94" s="23">
        <v>475</v>
      </c>
      <c r="N94" s="29">
        <v>2850</v>
      </c>
      <c r="O94" s="23" t="s">
        <v>31</v>
      </c>
      <c r="P94" s="38" t="s">
        <v>33</v>
      </c>
      <c r="Q94" s="38">
        <v>1620.75</v>
      </c>
      <c r="R94" s="38">
        <v>2</v>
      </c>
      <c r="S94" s="23" t="s">
        <v>31</v>
      </c>
      <c r="T94" s="23" t="s">
        <v>31</v>
      </c>
      <c r="U94" s="38" t="s">
        <v>93</v>
      </c>
      <c r="V94" s="38">
        <v>1.5</v>
      </c>
      <c r="W94" s="38" t="s">
        <v>94</v>
      </c>
      <c r="X94" s="38" t="s">
        <v>31</v>
      </c>
      <c r="Y94" s="38" t="s">
        <v>95</v>
      </c>
    </row>
    <row r="95" spans="1:25" x14ac:dyDescent="0.2">
      <c r="A95" s="37" t="s">
        <v>90</v>
      </c>
      <c r="B95" s="38" t="s">
        <v>25</v>
      </c>
      <c r="C95" s="38" t="s">
        <v>26</v>
      </c>
      <c r="D95" s="38" t="s">
        <v>91</v>
      </c>
      <c r="E95" s="38" t="s">
        <v>92</v>
      </c>
      <c r="F95" s="38">
        <v>2023</v>
      </c>
      <c r="G95" s="23" t="s">
        <v>133</v>
      </c>
      <c r="H95" s="23" t="s">
        <v>133</v>
      </c>
      <c r="I95" s="23" t="s">
        <v>31</v>
      </c>
      <c r="J95" s="38" t="s">
        <v>32</v>
      </c>
      <c r="K95" s="23">
        <v>1</v>
      </c>
      <c r="L95" s="23">
        <v>6</v>
      </c>
      <c r="M95" s="23">
        <v>475</v>
      </c>
      <c r="N95" s="29">
        <v>2850</v>
      </c>
      <c r="O95" s="23" t="s">
        <v>31</v>
      </c>
      <c r="P95" s="38" t="s">
        <v>33</v>
      </c>
      <c r="Q95" s="38">
        <v>1620.75</v>
      </c>
      <c r="R95" s="38">
        <v>2</v>
      </c>
      <c r="S95" s="23" t="s">
        <v>31</v>
      </c>
      <c r="T95" s="23" t="s">
        <v>31</v>
      </c>
      <c r="U95" s="38" t="s">
        <v>93</v>
      </c>
      <c r="V95" s="38">
        <v>1.5</v>
      </c>
      <c r="W95" s="38" t="s">
        <v>94</v>
      </c>
      <c r="X95" s="38" t="s">
        <v>31</v>
      </c>
      <c r="Y95" s="38" t="s">
        <v>95</v>
      </c>
    </row>
    <row r="96" spans="1:25" x14ac:dyDescent="0.2">
      <c r="A96" s="37" t="s">
        <v>90</v>
      </c>
      <c r="B96" s="38" t="s">
        <v>25</v>
      </c>
      <c r="C96" s="38" t="s">
        <v>26</v>
      </c>
      <c r="D96" s="38" t="s">
        <v>91</v>
      </c>
      <c r="E96" s="38" t="s">
        <v>92</v>
      </c>
      <c r="F96" s="38">
        <v>2023</v>
      </c>
      <c r="G96" s="23" t="s">
        <v>134</v>
      </c>
      <c r="H96" s="23" t="s">
        <v>135</v>
      </c>
      <c r="I96" s="23" t="s">
        <v>31</v>
      </c>
      <c r="J96" s="38" t="s">
        <v>32</v>
      </c>
      <c r="K96" s="23">
        <v>3</v>
      </c>
      <c r="L96" s="23">
        <v>8</v>
      </c>
      <c r="M96" s="23">
        <v>475</v>
      </c>
      <c r="N96" s="29">
        <v>3800</v>
      </c>
      <c r="O96" s="23" t="s">
        <v>31</v>
      </c>
      <c r="P96" s="38" t="s">
        <v>33</v>
      </c>
      <c r="Q96" s="38">
        <v>1620.75</v>
      </c>
      <c r="R96" s="38">
        <v>6</v>
      </c>
      <c r="S96" s="23" t="s">
        <v>31</v>
      </c>
      <c r="T96" s="23" t="s">
        <v>31</v>
      </c>
      <c r="U96" s="38" t="s">
        <v>93</v>
      </c>
      <c r="V96" s="38">
        <v>4.5</v>
      </c>
      <c r="W96" s="38" t="s">
        <v>94</v>
      </c>
      <c r="X96" s="38" t="s">
        <v>31</v>
      </c>
      <c r="Y96" s="38" t="s">
        <v>95</v>
      </c>
    </row>
    <row r="97" spans="1:25" x14ac:dyDescent="0.2">
      <c r="A97" s="37" t="s">
        <v>90</v>
      </c>
      <c r="B97" s="38" t="s">
        <v>25</v>
      </c>
      <c r="C97" s="38" t="s">
        <v>26</v>
      </c>
      <c r="D97" s="38" t="s">
        <v>91</v>
      </c>
      <c r="E97" s="38" t="s">
        <v>92</v>
      </c>
      <c r="F97" s="38">
        <v>2023</v>
      </c>
      <c r="G97" s="23" t="s">
        <v>136</v>
      </c>
      <c r="H97" s="23" t="s">
        <v>135</v>
      </c>
      <c r="I97" s="23" t="s">
        <v>31</v>
      </c>
      <c r="J97" s="38" t="s">
        <v>32</v>
      </c>
      <c r="K97" s="23">
        <v>2</v>
      </c>
      <c r="L97" s="23">
        <v>6</v>
      </c>
      <c r="M97" s="23">
        <v>475</v>
      </c>
      <c r="N97" s="29">
        <v>2850</v>
      </c>
      <c r="O97" s="23" t="s">
        <v>31</v>
      </c>
      <c r="P97" s="38" t="s">
        <v>33</v>
      </c>
      <c r="Q97" s="38">
        <v>1620.75</v>
      </c>
      <c r="R97" s="38">
        <v>4</v>
      </c>
      <c r="S97" s="23" t="s">
        <v>31</v>
      </c>
      <c r="T97" s="23" t="s">
        <v>31</v>
      </c>
      <c r="U97" s="38" t="s">
        <v>93</v>
      </c>
      <c r="V97" s="38">
        <v>3</v>
      </c>
      <c r="W97" s="38" t="s">
        <v>94</v>
      </c>
      <c r="X97" s="38" t="s">
        <v>31</v>
      </c>
      <c r="Y97" s="38" t="s">
        <v>95</v>
      </c>
    </row>
    <row r="98" spans="1:25" x14ac:dyDescent="0.2">
      <c r="A98" s="37" t="s">
        <v>90</v>
      </c>
      <c r="B98" s="38" t="s">
        <v>25</v>
      </c>
      <c r="C98" s="38" t="s">
        <v>26</v>
      </c>
      <c r="D98" s="38" t="s">
        <v>91</v>
      </c>
      <c r="E98" s="38" t="s">
        <v>92</v>
      </c>
      <c r="F98" s="38">
        <v>2023</v>
      </c>
      <c r="G98" s="23" t="s">
        <v>137</v>
      </c>
      <c r="H98" s="23" t="s">
        <v>135</v>
      </c>
      <c r="I98" s="23" t="s">
        <v>31</v>
      </c>
      <c r="J98" s="38" t="s">
        <v>32</v>
      </c>
      <c r="K98" s="23">
        <v>2</v>
      </c>
      <c r="L98" s="23">
        <v>6</v>
      </c>
      <c r="M98" s="23">
        <v>475</v>
      </c>
      <c r="N98" s="29">
        <v>2850</v>
      </c>
      <c r="O98" s="23" t="s">
        <v>31</v>
      </c>
      <c r="P98" s="38" t="s">
        <v>33</v>
      </c>
      <c r="Q98" s="38">
        <v>1620.75</v>
      </c>
      <c r="R98" s="38">
        <v>4</v>
      </c>
      <c r="S98" s="23" t="s">
        <v>31</v>
      </c>
      <c r="T98" s="23" t="s">
        <v>31</v>
      </c>
      <c r="U98" s="38" t="s">
        <v>93</v>
      </c>
      <c r="V98" s="38">
        <v>3</v>
      </c>
      <c r="W98" s="38" t="s">
        <v>94</v>
      </c>
      <c r="X98" s="38" t="s">
        <v>31</v>
      </c>
      <c r="Y98" s="38" t="s">
        <v>95</v>
      </c>
    </row>
    <row r="99" spans="1:25" x14ac:dyDescent="0.2">
      <c r="A99" s="37" t="s">
        <v>90</v>
      </c>
      <c r="B99" s="38" t="s">
        <v>25</v>
      </c>
      <c r="C99" s="38" t="s">
        <v>26</v>
      </c>
      <c r="D99" s="38" t="s">
        <v>91</v>
      </c>
      <c r="E99" s="38" t="s">
        <v>92</v>
      </c>
      <c r="F99" s="38">
        <v>2023</v>
      </c>
      <c r="G99" s="23" t="s">
        <v>138</v>
      </c>
      <c r="H99" s="23" t="s">
        <v>135</v>
      </c>
      <c r="I99" s="23" t="s">
        <v>31</v>
      </c>
      <c r="J99" s="38" t="s">
        <v>32</v>
      </c>
      <c r="K99" s="23">
        <v>1</v>
      </c>
      <c r="L99" s="23">
        <v>2</v>
      </c>
      <c r="M99" s="23">
        <v>475</v>
      </c>
      <c r="N99" s="23">
        <v>950</v>
      </c>
      <c r="O99" s="23" t="s">
        <v>31</v>
      </c>
      <c r="P99" s="38" t="s">
        <v>33</v>
      </c>
      <c r="Q99" s="38">
        <v>1620.75</v>
      </c>
      <c r="R99" s="38">
        <v>2</v>
      </c>
      <c r="S99" s="23" t="s">
        <v>31</v>
      </c>
      <c r="T99" s="23" t="s">
        <v>31</v>
      </c>
      <c r="U99" s="38" t="s">
        <v>93</v>
      </c>
      <c r="V99" s="38">
        <v>1.5</v>
      </c>
      <c r="W99" s="38" t="s">
        <v>94</v>
      </c>
      <c r="X99" s="38" t="s">
        <v>31</v>
      </c>
      <c r="Y99" s="38" t="s">
        <v>95</v>
      </c>
    </row>
    <row r="100" spans="1:25" x14ac:dyDescent="0.2">
      <c r="A100" s="37" t="s">
        <v>90</v>
      </c>
      <c r="B100" s="38" t="s">
        <v>25</v>
      </c>
      <c r="C100" s="38" t="s">
        <v>26</v>
      </c>
      <c r="D100" s="38" t="s">
        <v>91</v>
      </c>
      <c r="E100" s="38" t="s">
        <v>92</v>
      </c>
      <c r="F100" s="38">
        <v>2023</v>
      </c>
      <c r="G100" s="23" t="s">
        <v>139</v>
      </c>
      <c r="H100" s="23" t="s">
        <v>135</v>
      </c>
      <c r="I100" s="23" t="s">
        <v>31</v>
      </c>
      <c r="J100" s="38" t="s">
        <v>32</v>
      </c>
      <c r="K100" s="23">
        <v>1</v>
      </c>
      <c r="L100" s="23">
        <v>2</v>
      </c>
      <c r="M100" s="23">
        <v>475</v>
      </c>
      <c r="N100" s="23">
        <v>950</v>
      </c>
      <c r="O100" s="23" t="s">
        <v>31</v>
      </c>
      <c r="P100" s="38" t="s">
        <v>33</v>
      </c>
      <c r="Q100" s="38">
        <v>1620.75</v>
      </c>
      <c r="R100" s="38">
        <v>2</v>
      </c>
      <c r="S100" s="23" t="s">
        <v>31</v>
      </c>
      <c r="T100" s="23" t="s">
        <v>31</v>
      </c>
      <c r="U100" s="38" t="s">
        <v>93</v>
      </c>
      <c r="V100" s="38">
        <v>1.5</v>
      </c>
      <c r="W100" s="38" t="s">
        <v>94</v>
      </c>
      <c r="X100" s="38" t="s">
        <v>31</v>
      </c>
      <c r="Y100" s="38" t="s">
        <v>95</v>
      </c>
    </row>
    <row r="101" spans="1:25" x14ac:dyDescent="0.2">
      <c r="A101" s="37" t="s">
        <v>90</v>
      </c>
      <c r="B101" s="38" t="s">
        <v>25</v>
      </c>
      <c r="C101" s="38" t="s">
        <v>26</v>
      </c>
      <c r="D101" s="38" t="s">
        <v>91</v>
      </c>
      <c r="E101" s="38" t="s">
        <v>92</v>
      </c>
      <c r="F101" s="38">
        <v>2023</v>
      </c>
      <c r="G101" s="23" t="s">
        <v>140</v>
      </c>
      <c r="H101" s="23" t="s">
        <v>135</v>
      </c>
      <c r="I101" s="23" t="s">
        <v>31</v>
      </c>
      <c r="J101" s="38" t="s">
        <v>32</v>
      </c>
      <c r="K101" s="23">
        <v>1</v>
      </c>
      <c r="L101" s="23">
        <v>2</v>
      </c>
      <c r="M101" s="23">
        <v>475</v>
      </c>
      <c r="N101" s="23">
        <v>950</v>
      </c>
      <c r="O101" s="23" t="s">
        <v>31</v>
      </c>
      <c r="P101" s="38" t="s">
        <v>33</v>
      </c>
      <c r="Q101" s="38">
        <v>1620.75</v>
      </c>
      <c r="R101" s="38">
        <v>2</v>
      </c>
      <c r="S101" s="23" t="s">
        <v>31</v>
      </c>
      <c r="T101" s="23" t="s">
        <v>31</v>
      </c>
      <c r="U101" s="38" t="s">
        <v>93</v>
      </c>
      <c r="V101" s="38">
        <v>1.5</v>
      </c>
      <c r="W101" s="38" t="s">
        <v>94</v>
      </c>
      <c r="X101" s="38" t="s">
        <v>31</v>
      </c>
      <c r="Y101" s="38" t="s">
        <v>95</v>
      </c>
    </row>
    <row r="102" spans="1:25" x14ac:dyDescent="0.2">
      <c r="A102" s="37" t="s">
        <v>90</v>
      </c>
      <c r="B102" s="38" t="s">
        <v>25</v>
      </c>
      <c r="C102" s="38" t="s">
        <v>26</v>
      </c>
      <c r="D102" s="38" t="s">
        <v>91</v>
      </c>
      <c r="E102" s="38" t="s">
        <v>92</v>
      </c>
      <c r="F102" s="38">
        <v>2023</v>
      </c>
      <c r="G102" s="23" t="s">
        <v>43</v>
      </c>
      <c r="H102" s="23" t="s">
        <v>59</v>
      </c>
      <c r="I102" s="23" t="s">
        <v>31</v>
      </c>
      <c r="J102" s="38" t="s">
        <v>32</v>
      </c>
      <c r="K102" s="23">
        <v>2</v>
      </c>
      <c r="L102" s="23">
        <v>10</v>
      </c>
      <c r="M102" s="23">
        <v>475</v>
      </c>
      <c r="N102" s="29">
        <v>4750</v>
      </c>
      <c r="O102" s="23" t="s">
        <v>31</v>
      </c>
      <c r="P102" s="38" t="s">
        <v>33</v>
      </c>
      <c r="Q102" s="38">
        <v>1620.75</v>
      </c>
      <c r="R102" s="38">
        <v>4</v>
      </c>
      <c r="S102" s="23" t="s">
        <v>31</v>
      </c>
      <c r="T102" s="23" t="s">
        <v>31</v>
      </c>
      <c r="U102" s="38" t="s">
        <v>93</v>
      </c>
      <c r="V102" s="38">
        <v>3</v>
      </c>
      <c r="W102" s="38" t="s">
        <v>94</v>
      </c>
      <c r="X102" s="38" t="s">
        <v>31</v>
      </c>
      <c r="Y102" s="38" t="s">
        <v>95</v>
      </c>
    </row>
    <row r="103" spans="1:25" x14ac:dyDescent="0.2">
      <c r="A103" s="37" t="s">
        <v>90</v>
      </c>
      <c r="B103" s="38" t="s">
        <v>25</v>
      </c>
      <c r="C103" s="38" t="s">
        <v>26</v>
      </c>
      <c r="D103" s="38" t="s">
        <v>91</v>
      </c>
      <c r="E103" s="38" t="s">
        <v>92</v>
      </c>
      <c r="F103" s="38">
        <v>2023</v>
      </c>
      <c r="G103" s="23" t="s">
        <v>141</v>
      </c>
      <c r="H103" s="23" t="s">
        <v>59</v>
      </c>
      <c r="I103" s="23" t="s">
        <v>31</v>
      </c>
      <c r="J103" s="38" t="s">
        <v>32</v>
      </c>
      <c r="K103" s="23">
        <v>1</v>
      </c>
      <c r="L103" s="23">
        <v>2</v>
      </c>
      <c r="M103" s="23">
        <v>475</v>
      </c>
      <c r="N103" s="23">
        <v>950</v>
      </c>
      <c r="O103" s="23" t="s">
        <v>31</v>
      </c>
      <c r="P103" s="38" t="s">
        <v>33</v>
      </c>
      <c r="Q103" s="38">
        <v>1620.75</v>
      </c>
      <c r="R103" s="38">
        <v>2</v>
      </c>
      <c r="S103" s="23" t="s">
        <v>31</v>
      </c>
      <c r="T103" s="23" t="s">
        <v>31</v>
      </c>
      <c r="U103" s="38" t="s">
        <v>93</v>
      </c>
      <c r="V103" s="38">
        <v>1.5</v>
      </c>
      <c r="W103" s="38" t="s">
        <v>94</v>
      </c>
      <c r="X103" s="38" t="s">
        <v>31</v>
      </c>
      <c r="Y103" s="38" t="s">
        <v>95</v>
      </c>
    </row>
    <row r="104" spans="1:25" x14ac:dyDescent="0.2">
      <c r="A104" s="37" t="s">
        <v>90</v>
      </c>
      <c r="B104" s="38" t="s">
        <v>25</v>
      </c>
      <c r="C104" s="38" t="s">
        <v>26</v>
      </c>
      <c r="D104" s="38" t="s">
        <v>91</v>
      </c>
      <c r="E104" s="38" t="s">
        <v>92</v>
      </c>
      <c r="F104" s="38">
        <v>2023</v>
      </c>
      <c r="G104" s="23" t="s">
        <v>58</v>
      </c>
      <c r="H104" s="23" t="s">
        <v>59</v>
      </c>
      <c r="I104" s="23" t="s">
        <v>31</v>
      </c>
      <c r="J104" s="38" t="s">
        <v>32</v>
      </c>
      <c r="K104" s="23">
        <v>1</v>
      </c>
      <c r="L104" s="23">
        <v>6</v>
      </c>
      <c r="M104" s="23">
        <v>475</v>
      </c>
      <c r="N104" s="29">
        <v>2850</v>
      </c>
      <c r="O104" s="23" t="s">
        <v>31</v>
      </c>
      <c r="P104" s="38" t="s">
        <v>33</v>
      </c>
      <c r="Q104" s="38">
        <v>1620.75</v>
      </c>
      <c r="R104" s="38">
        <v>2</v>
      </c>
      <c r="S104" s="23" t="s">
        <v>31</v>
      </c>
      <c r="T104" s="23" t="s">
        <v>31</v>
      </c>
      <c r="U104" s="38" t="s">
        <v>93</v>
      </c>
      <c r="V104" s="38">
        <v>1.5</v>
      </c>
      <c r="W104" s="38" t="s">
        <v>94</v>
      </c>
      <c r="X104" s="38" t="s">
        <v>31</v>
      </c>
      <c r="Y104" s="38" t="s">
        <v>95</v>
      </c>
    </row>
    <row r="105" spans="1:25" x14ac:dyDescent="0.2">
      <c r="A105" s="37" t="s">
        <v>90</v>
      </c>
      <c r="B105" s="38" t="s">
        <v>25</v>
      </c>
      <c r="C105" s="38" t="s">
        <v>26</v>
      </c>
      <c r="D105" s="38" t="s">
        <v>91</v>
      </c>
      <c r="E105" s="38" t="s">
        <v>92</v>
      </c>
      <c r="F105" s="38">
        <v>2023</v>
      </c>
      <c r="G105" s="23" t="s">
        <v>142</v>
      </c>
      <c r="H105" s="23" t="s">
        <v>62</v>
      </c>
      <c r="I105" s="23" t="s">
        <v>31</v>
      </c>
      <c r="J105" s="38" t="s">
        <v>32</v>
      </c>
      <c r="K105" s="23">
        <v>1</v>
      </c>
      <c r="L105" s="23">
        <v>6</v>
      </c>
      <c r="M105" s="23">
        <v>475</v>
      </c>
      <c r="N105" s="29">
        <v>2850</v>
      </c>
      <c r="O105" s="23" t="s">
        <v>31</v>
      </c>
      <c r="P105" s="38" t="s">
        <v>33</v>
      </c>
      <c r="Q105" s="38">
        <v>1620.75</v>
      </c>
      <c r="R105" s="38">
        <v>2</v>
      </c>
      <c r="S105" s="23" t="s">
        <v>31</v>
      </c>
      <c r="T105" s="23" t="s">
        <v>31</v>
      </c>
      <c r="U105" s="38" t="s">
        <v>93</v>
      </c>
      <c r="V105" s="38">
        <v>1.5</v>
      </c>
      <c r="W105" s="38" t="s">
        <v>94</v>
      </c>
      <c r="X105" s="38" t="s">
        <v>31</v>
      </c>
      <c r="Y105" s="38" t="s">
        <v>95</v>
      </c>
    </row>
    <row r="106" spans="1:25" x14ac:dyDescent="0.2">
      <c r="A106" s="37" t="s">
        <v>90</v>
      </c>
      <c r="B106" s="38" t="s">
        <v>25</v>
      </c>
      <c r="C106" s="38" t="s">
        <v>26</v>
      </c>
      <c r="D106" s="38" t="s">
        <v>91</v>
      </c>
      <c r="E106" s="38" t="s">
        <v>92</v>
      </c>
      <c r="F106" s="38">
        <v>2023</v>
      </c>
      <c r="G106" s="23" t="s">
        <v>108</v>
      </c>
      <c r="H106" s="23" t="s">
        <v>143</v>
      </c>
      <c r="I106" s="23" t="s">
        <v>31</v>
      </c>
      <c r="J106" s="38" t="s">
        <v>32</v>
      </c>
      <c r="K106" s="23">
        <v>1</v>
      </c>
      <c r="L106" s="23">
        <v>6</v>
      </c>
      <c r="M106" s="23">
        <v>475</v>
      </c>
      <c r="N106" s="29">
        <v>2850</v>
      </c>
      <c r="O106" s="23" t="s">
        <v>31</v>
      </c>
      <c r="P106" s="38" t="s">
        <v>33</v>
      </c>
      <c r="Q106" s="38">
        <v>1620.75</v>
      </c>
      <c r="R106" s="38">
        <v>2</v>
      </c>
      <c r="S106" s="23" t="s">
        <v>31</v>
      </c>
      <c r="T106" s="23" t="s">
        <v>31</v>
      </c>
      <c r="U106" s="38" t="s">
        <v>93</v>
      </c>
      <c r="V106" s="38">
        <v>1.5</v>
      </c>
      <c r="W106" s="38" t="s">
        <v>94</v>
      </c>
      <c r="X106" s="38" t="s">
        <v>31</v>
      </c>
      <c r="Y106" s="38" t="s">
        <v>95</v>
      </c>
    </row>
    <row r="107" spans="1:25" x14ac:dyDescent="0.2">
      <c r="A107" s="37" t="s">
        <v>90</v>
      </c>
      <c r="B107" s="38" t="s">
        <v>25</v>
      </c>
      <c r="C107" s="38" t="s">
        <v>26</v>
      </c>
      <c r="D107" s="38" t="s">
        <v>91</v>
      </c>
      <c r="E107" s="38" t="s">
        <v>92</v>
      </c>
      <c r="F107" s="38">
        <v>2023</v>
      </c>
      <c r="G107" s="23" t="s">
        <v>108</v>
      </c>
      <c r="H107" s="23" t="s">
        <v>144</v>
      </c>
      <c r="I107" s="23" t="s">
        <v>31</v>
      </c>
      <c r="J107" s="38" t="s">
        <v>32</v>
      </c>
      <c r="K107" s="23">
        <v>1</v>
      </c>
      <c r="L107" s="23">
        <v>6</v>
      </c>
      <c r="M107" s="23">
        <v>475</v>
      </c>
      <c r="N107" s="29">
        <v>2850</v>
      </c>
      <c r="O107" s="23" t="s">
        <v>31</v>
      </c>
      <c r="P107" s="38" t="s">
        <v>33</v>
      </c>
      <c r="Q107" s="38">
        <v>1620.75</v>
      </c>
      <c r="R107" s="38">
        <v>2</v>
      </c>
      <c r="S107" s="23" t="s">
        <v>31</v>
      </c>
      <c r="T107" s="23" t="s">
        <v>31</v>
      </c>
      <c r="U107" s="38" t="s">
        <v>93</v>
      </c>
      <c r="V107" s="38">
        <v>1.5</v>
      </c>
      <c r="W107" s="38" t="s">
        <v>94</v>
      </c>
      <c r="X107" s="38" t="s">
        <v>31</v>
      </c>
      <c r="Y107" s="38" t="s">
        <v>95</v>
      </c>
    </row>
    <row r="108" spans="1:25" x14ac:dyDescent="0.2">
      <c r="A108" s="37" t="s">
        <v>90</v>
      </c>
      <c r="B108" s="38" t="s">
        <v>25</v>
      </c>
      <c r="C108" s="38" t="s">
        <v>26</v>
      </c>
      <c r="D108" s="38" t="s">
        <v>91</v>
      </c>
      <c r="E108" s="38" t="s">
        <v>92</v>
      </c>
      <c r="F108" s="38">
        <v>2023</v>
      </c>
      <c r="G108" s="23" t="s">
        <v>108</v>
      </c>
      <c r="H108" s="23" t="s">
        <v>82</v>
      </c>
      <c r="I108" s="23" t="s">
        <v>31</v>
      </c>
      <c r="J108" s="38" t="s">
        <v>32</v>
      </c>
      <c r="K108" s="23">
        <v>1</v>
      </c>
      <c r="L108" s="23">
        <v>6</v>
      </c>
      <c r="M108" s="23">
        <v>475</v>
      </c>
      <c r="N108" s="29">
        <v>2850</v>
      </c>
      <c r="O108" s="23" t="s">
        <v>31</v>
      </c>
      <c r="P108" s="38" t="s">
        <v>33</v>
      </c>
      <c r="Q108" s="38">
        <v>1620.75</v>
      </c>
      <c r="R108" s="38">
        <v>2</v>
      </c>
      <c r="S108" s="23" t="s">
        <v>31</v>
      </c>
      <c r="T108" s="23" t="s">
        <v>31</v>
      </c>
      <c r="U108" s="38" t="s">
        <v>93</v>
      </c>
      <c r="V108" s="38">
        <v>1.5</v>
      </c>
      <c r="W108" s="38" t="s">
        <v>94</v>
      </c>
      <c r="X108" s="38" t="s">
        <v>31</v>
      </c>
      <c r="Y108" s="38" t="s">
        <v>95</v>
      </c>
    </row>
    <row r="109" spans="1:25" x14ac:dyDescent="0.2">
      <c r="A109" s="37" t="s">
        <v>90</v>
      </c>
      <c r="B109" s="38" t="s">
        <v>25</v>
      </c>
      <c r="C109" s="38" t="s">
        <v>26</v>
      </c>
      <c r="D109" s="38" t="s">
        <v>91</v>
      </c>
      <c r="E109" s="38" t="s">
        <v>92</v>
      </c>
      <c r="F109" s="38">
        <v>2023</v>
      </c>
      <c r="G109" s="23" t="s">
        <v>145</v>
      </c>
      <c r="H109" s="23" t="s">
        <v>146</v>
      </c>
      <c r="I109" s="23" t="s">
        <v>31</v>
      </c>
      <c r="J109" s="38" t="s">
        <v>32</v>
      </c>
      <c r="K109" s="23">
        <v>1</v>
      </c>
      <c r="L109" s="23">
        <v>6</v>
      </c>
      <c r="M109" s="23">
        <v>475</v>
      </c>
      <c r="N109" s="29">
        <v>2850</v>
      </c>
      <c r="O109" s="23" t="s">
        <v>31</v>
      </c>
      <c r="P109" s="38" t="s">
        <v>33</v>
      </c>
      <c r="Q109" s="38">
        <v>1620.75</v>
      </c>
      <c r="R109" s="38">
        <v>2</v>
      </c>
      <c r="S109" s="23" t="s">
        <v>31</v>
      </c>
      <c r="T109" s="23" t="s">
        <v>31</v>
      </c>
      <c r="U109" s="38" t="s">
        <v>93</v>
      </c>
      <c r="V109" s="38">
        <v>1.5</v>
      </c>
      <c r="W109" s="38" t="s">
        <v>94</v>
      </c>
      <c r="X109" s="38" t="s">
        <v>31</v>
      </c>
      <c r="Y109" s="38" t="s">
        <v>95</v>
      </c>
    </row>
    <row r="110" spans="1:25" x14ac:dyDescent="0.2">
      <c r="A110" s="37" t="s">
        <v>90</v>
      </c>
      <c r="B110" s="38" t="s">
        <v>25</v>
      </c>
      <c r="C110" s="38" t="s">
        <v>26</v>
      </c>
      <c r="D110" s="38" t="s">
        <v>91</v>
      </c>
      <c r="E110" s="38" t="s">
        <v>92</v>
      </c>
      <c r="F110" s="38">
        <v>2023</v>
      </c>
      <c r="G110" s="23" t="s">
        <v>147</v>
      </c>
      <c r="H110" s="23" t="s">
        <v>146</v>
      </c>
      <c r="I110" s="23" t="s">
        <v>31</v>
      </c>
      <c r="J110" s="38" t="s">
        <v>32</v>
      </c>
      <c r="K110" s="23">
        <v>1</v>
      </c>
      <c r="L110" s="23">
        <v>6</v>
      </c>
      <c r="M110" s="23">
        <v>475</v>
      </c>
      <c r="N110" s="29">
        <v>2850</v>
      </c>
      <c r="O110" s="23" t="s">
        <v>31</v>
      </c>
      <c r="P110" s="38" t="s">
        <v>33</v>
      </c>
      <c r="Q110" s="38">
        <v>1620.75</v>
      </c>
      <c r="R110" s="38">
        <v>2</v>
      </c>
      <c r="S110" s="23" t="s">
        <v>31</v>
      </c>
      <c r="T110" s="23" t="s">
        <v>31</v>
      </c>
      <c r="U110" s="38" t="s">
        <v>93</v>
      </c>
      <c r="V110" s="38">
        <v>1.5</v>
      </c>
      <c r="W110" s="38" t="s">
        <v>94</v>
      </c>
      <c r="X110" s="38" t="s">
        <v>31</v>
      </c>
      <c r="Y110" s="38" t="s">
        <v>95</v>
      </c>
    </row>
    <row r="111" spans="1:25" x14ac:dyDescent="0.2">
      <c r="A111" s="37" t="s">
        <v>90</v>
      </c>
      <c r="B111" s="38" t="s">
        <v>25</v>
      </c>
      <c r="C111" s="38" t="s">
        <v>26</v>
      </c>
      <c r="D111" s="38" t="s">
        <v>91</v>
      </c>
      <c r="E111" s="38" t="s">
        <v>92</v>
      </c>
      <c r="F111" s="38">
        <v>2023</v>
      </c>
      <c r="G111" s="23" t="s">
        <v>148</v>
      </c>
      <c r="H111" s="23" t="s">
        <v>146</v>
      </c>
      <c r="I111" s="23" t="s">
        <v>31</v>
      </c>
      <c r="J111" s="38" t="s">
        <v>32</v>
      </c>
      <c r="K111" s="23">
        <v>3</v>
      </c>
      <c r="L111" s="23">
        <v>10</v>
      </c>
      <c r="M111" s="23">
        <v>475</v>
      </c>
      <c r="N111" s="29">
        <v>4750</v>
      </c>
      <c r="O111" s="23" t="s">
        <v>31</v>
      </c>
      <c r="P111" s="38" t="s">
        <v>33</v>
      </c>
      <c r="Q111" s="38">
        <v>1620.75</v>
      </c>
      <c r="R111" s="38">
        <v>6</v>
      </c>
      <c r="S111" s="23" t="s">
        <v>31</v>
      </c>
      <c r="T111" s="23" t="s">
        <v>31</v>
      </c>
      <c r="U111" s="38" t="s">
        <v>93</v>
      </c>
      <c r="V111" s="38">
        <v>4.5</v>
      </c>
      <c r="W111" s="38" t="s">
        <v>94</v>
      </c>
      <c r="X111" s="38" t="s">
        <v>31</v>
      </c>
      <c r="Y111" s="38" t="s">
        <v>95</v>
      </c>
    </row>
    <row r="112" spans="1:25" x14ac:dyDescent="0.2">
      <c r="A112" s="37" t="s">
        <v>90</v>
      </c>
      <c r="B112" s="38" t="s">
        <v>25</v>
      </c>
      <c r="C112" s="38" t="s">
        <v>26</v>
      </c>
      <c r="D112" s="38" t="s">
        <v>91</v>
      </c>
      <c r="E112" s="38" t="s">
        <v>92</v>
      </c>
      <c r="F112" s="38">
        <v>2023</v>
      </c>
      <c r="G112" s="23" t="s">
        <v>149</v>
      </c>
      <c r="H112" s="23" t="s">
        <v>150</v>
      </c>
      <c r="I112" s="23" t="s">
        <v>31</v>
      </c>
      <c r="J112" s="38" t="s">
        <v>32</v>
      </c>
      <c r="K112" s="23">
        <v>1</v>
      </c>
      <c r="L112" s="23">
        <v>6</v>
      </c>
      <c r="M112" s="23">
        <v>475</v>
      </c>
      <c r="N112" s="29">
        <v>2850</v>
      </c>
      <c r="O112" s="23" t="s">
        <v>31</v>
      </c>
      <c r="P112" s="38" t="s">
        <v>33</v>
      </c>
      <c r="Q112" s="38">
        <v>1620.75</v>
      </c>
      <c r="R112" s="38">
        <v>2</v>
      </c>
      <c r="S112" s="23" t="s">
        <v>31</v>
      </c>
      <c r="T112" s="23" t="s">
        <v>31</v>
      </c>
      <c r="U112" s="38" t="s">
        <v>93</v>
      </c>
      <c r="V112" s="38">
        <v>1.5</v>
      </c>
      <c r="W112" s="38" t="s">
        <v>94</v>
      </c>
      <c r="X112" s="38" t="s">
        <v>31</v>
      </c>
      <c r="Y112" s="38" t="s">
        <v>95</v>
      </c>
    </row>
    <row r="113" spans="1:25" x14ac:dyDescent="0.2">
      <c r="A113" s="37" t="s">
        <v>90</v>
      </c>
      <c r="B113" s="38" t="s">
        <v>25</v>
      </c>
      <c r="C113" s="38" t="s">
        <v>26</v>
      </c>
      <c r="D113" s="38" t="s">
        <v>91</v>
      </c>
      <c r="E113" s="38" t="s">
        <v>92</v>
      </c>
      <c r="F113" s="38">
        <v>2023</v>
      </c>
      <c r="G113" s="23" t="s">
        <v>46</v>
      </c>
      <c r="H113" s="23" t="s">
        <v>150</v>
      </c>
      <c r="I113" s="23" t="s">
        <v>31</v>
      </c>
      <c r="J113" s="38" t="s">
        <v>32</v>
      </c>
      <c r="K113" s="23">
        <v>2</v>
      </c>
      <c r="L113" s="23">
        <v>10</v>
      </c>
      <c r="M113" s="23">
        <v>475</v>
      </c>
      <c r="N113" s="29">
        <v>4750</v>
      </c>
      <c r="O113" s="23" t="s">
        <v>31</v>
      </c>
      <c r="P113" s="38" t="s">
        <v>33</v>
      </c>
      <c r="Q113" s="38">
        <v>1620.75</v>
      </c>
      <c r="R113" s="38">
        <v>4</v>
      </c>
      <c r="S113" s="23" t="s">
        <v>31</v>
      </c>
      <c r="T113" s="23" t="s">
        <v>31</v>
      </c>
      <c r="U113" s="38" t="s">
        <v>93</v>
      </c>
      <c r="V113" s="38">
        <v>3</v>
      </c>
      <c r="W113" s="38" t="s">
        <v>94</v>
      </c>
      <c r="X113" s="38" t="s">
        <v>31</v>
      </c>
      <c r="Y113" s="38" t="s">
        <v>95</v>
      </c>
    </row>
    <row r="114" spans="1:25" x14ac:dyDescent="0.2">
      <c r="A114" s="37" t="s">
        <v>90</v>
      </c>
      <c r="B114" s="38" t="s">
        <v>25</v>
      </c>
      <c r="C114" s="38" t="s">
        <v>26</v>
      </c>
      <c r="D114" s="38" t="s">
        <v>91</v>
      </c>
      <c r="E114" s="38" t="s">
        <v>92</v>
      </c>
      <c r="F114" s="38">
        <v>2023</v>
      </c>
      <c r="G114" s="23" t="s">
        <v>151</v>
      </c>
      <c r="H114" s="23" t="s">
        <v>152</v>
      </c>
      <c r="I114" s="23" t="s">
        <v>31</v>
      </c>
      <c r="J114" s="38" t="s">
        <v>32</v>
      </c>
      <c r="K114" s="23">
        <v>1</v>
      </c>
      <c r="L114" s="23">
        <v>6</v>
      </c>
      <c r="M114" s="23">
        <v>475</v>
      </c>
      <c r="N114" s="29">
        <v>2850</v>
      </c>
      <c r="O114" s="23" t="s">
        <v>31</v>
      </c>
      <c r="P114" s="38" t="s">
        <v>33</v>
      </c>
      <c r="Q114" s="38">
        <v>1620.75</v>
      </c>
      <c r="R114" s="38">
        <v>2</v>
      </c>
      <c r="S114" s="23" t="s">
        <v>31</v>
      </c>
      <c r="T114" s="23" t="s">
        <v>31</v>
      </c>
      <c r="U114" s="38" t="s">
        <v>93</v>
      </c>
      <c r="V114" s="38">
        <v>1.5</v>
      </c>
      <c r="W114" s="38" t="s">
        <v>94</v>
      </c>
      <c r="X114" s="38" t="s">
        <v>31</v>
      </c>
      <c r="Y114" s="38" t="s">
        <v>95</v>
      </c>
    </row>
    <row r="115" spans="1:25" x14ac:dyDescent="0.2">
      <c r="A115" s="37" t="s">
        <v>90</v>
      </c>
      <c r="B115" s="38" t="s">
        <v>25</v>
      </c>
      <c r="C115" s="38" t="s">
        <v>26</v>
      </c>
      <c r="D115" s="38" t="s">
        <v>91</v>
      </c>
      <c r="E115" s="38" t="s">
        <v>92</v>
      </c>
      <c r="F115" s="38">
        <v>2023</v>
      </c>
      <c r="G115" s="23" t="s">
        <v>153</v>
      </c>
      <c r="H115" s="23" t="s">
        <v>49</v>
      </c>
      <c r="I115" s="23" t="s">
        <v>31</v>
      </c>
      <c r="J115" s="38" t="s">
        <v>32</v>
      </c>
      <c r="K115" s="23">
        <v>1</v>
      </c>
      <c r="L115" s="23">
        <v>6</v>
      </c>
      <c r="M115" s="23">
        <v>475</v>
      </c>
      <c r="N115" s="29">
        <v>2850</v>
      </c>
      <c r="O115" s="23" t="s">
        <v>31</v>
      </c>
      <c r="P115" s="38" t="s">
        <v>33</v>
      </c>
      <c r="Q115" s="38">
        <v>1620.75</v>
      </c>
      <c r="R115" s="38">
        <v>2</v>
      </c>
      <c r="S115" s="23" t="s">
        <v>31</v>
      </c>
      <c r="T115" s="23" t="s">
        <v>31</v>
      </c>
      <c r="U115" s="38" t="s">
        <v>93</v>
      </c>
      <c r="V115" s="38">
        <v>1.5</v>
      </c>
      <c r="W115" s="38" t="s">
        <v>94</v>
      </c>
      <c r="X115" s="38" t="s">
        <v>31</v>
      </c>
      <c r="Y115" s="38" t="s">
        <v>95</v>
      </c>
    </row>
    <row r="116" spans="1:25" x14ac:dyDescent="0.2">
      <c r="A116" s="37" t="s">
        <v>90</v>
      </c>
      <c r="B116" s="38" t="s">
        <v>25</v>
      </c>
      <c r="C116" s="38" t="s">
        <v>26</v>
      </c>
      <c r="D116" s="38" t="s">
        <v>91</v>
      </c>
      <c r="E116" s="38" t="s">
        <v>92</v>
      </c>
      <c r="F116" s="38">
        <v>2023</v>
      </c>
      <c r="G116" s="23" t="s">
        <v>46</v>
      </c>
      <c r="H116" s="23" t="s">
        <v>49</v>
      </c>
      <c r="I116" s="23" t="s">
        <v>31</v>
      </c>
      <c r="J116" s="38" t="s">
        <v>32</v>
      </c>
      <c r="K116" s="23">
        <v>2</v>
      </c>
      <c r="L116" s="23">
        <v>8</v>
      </c>
      <c r="M116" s="23">
        <v>475</v>
      </c>
      <c r="N116" s="29">
        <v>3800</v>
      </c>
      <c r="O116" s="23" t="s">
        <v>31</v>
      </c>
      <c r="P116" s="38" t="s">
        <v>33</v>
      </c>
      <c r="Q116" s="38">
        <v>1620.75</v>
      </c>
      <c r="R116" s="38">
        <v>4</v>
      </c>
      <c r="S116" s="23" t="s">
        <v>31</v>
      </c>
      <c r="T116" s="23" t="s">
        <v>31</v>
      </c>
      <c r="U116" s="38" t="s">
        <v>93</v>
      </c>
      <c r="V116" s="38">
        <v>3</v>
      </c>
      <c r="W116" s="38" t="s">
        <v>94</v>
      </c>
      <c r="X116" s="38" t="s">
        <v>31</v>
      </c>
      <c r="Y116" s="38" t="s">
        <v>95</v>
      </c>
    </row>
    <row r="117" spans="1:25" x14ac:dyDescent="0.2">
      <c r="A117" s="37" t="s">
        <v>90</v>
      </c>
      <c r="B117" s="38" t="s">
        <v>25</v>
      </c>
      <c r="C117" s="38" t="s">
        <v>26</v>
      </c>
      <c r="D117" s="38" t="s">
        <v>91</v>
      </c>
      <c r="E117" s="38" t="s">
        <v>92</v>
      </c>
      <c r="F117" s="38">
        <v>2023</v>
      </c>
      <c r="G117" s="23" t="s">
        <v>75</v>
      </c>
      <c r="H117" s="23" t="s">
        <v>75</v>
      </c>
      <c r="I117" s="23" t="s">
        <v>31</v>
      </c>
      <c r="J117" s="38" t="s">
        <v>32</v>
      </c>
      <c r="K117" s="23">
        <v>1</v>
      </c>
      <c r="L117" s="23">
        <v>6</v>
      </c>
      <c r="M117" s="23">
        <v>475</v>
      </c>
      <c r="N117" s="29">
        <v>2850</v>
      </c>
      <c r="O117" s="23" t="s">
        <v>31</v>
      </c>
      <c r="P117" s="38" t="s">
        <v>33</v>
      </c>
      <c r="Q117" s="38">
        <v>1620.75</v>
      </c>
      <c r="R117" s="38">
        <v>2</v>
      </c>
      <c r="S117" s="23" t="s">
        <v>31</v>
      </c>
      <c r="T117" s="23" t="s">
        <v>31</v>
      </c>
      <c r="U117" s="38" t="s">
        <v>93</v>
      </c>
      <c r="V117" s="38">
        <v>1.5</v>
      </c>
      <c r="W117" s="38" t="s">
        <v>94</v>
      </c>
      <c r="X117" s="38" t="s">
        <v>31</v>
      </c>
      <c r="Y117" s="38" t="s">
        <v>95</v>
      </c>
    </row>
    <row r="118" spans="1:25" x14ac:dyDescent="0.2">
      <c r="A118" s="37" t="s">
        <v>90</v>
      </c>
      <c r="B118" s="38" t="s">
        <v>25</v>
      </c>
      <c r="C118" s="38" t="s">
        <v>26</v>
      </c>
      <c r="D118" s="38" t="s">
        <v>91</v>
      </c>
      <c r="E118" s="38" t="s">
        <v>92</v>
      </c>
      <c r="F118" s="38">
        <v>2023</v>
      </c>
      <c r="G118" s="65" t="s">
        <v>46</v>
      </c>
      <c r="H118" s="65" t="s">
        <v>154</v>
      </c>
      <c r="I118" s="23" t="s">
        <v>31</v>
      </c>
      <c r="J118" s="38" t="s">
        <v>32</v>
      </c>
      <c r="K118" s="23">
        <v>1</v>
      </c>
      <c r="L118" s="23">
        <v>6</v>
      </c>
      <c r="M118" s="23">
        <v>475</v>
      </c>
      <c r="N118" s="29">
        <v>2850</v>
      </c>
      <c r="O118" s="23" t="s">
        <v>31</v>
      </c>
      <c r="P118" s="38" t="s">
        <v>33</v>
      </c>
      <c r="Q118" s="38">
        <v>1620.75</v>
      </c>
      <c r="R118" s="38">
        <v>2</v>
      </c>
      <c r="S118" s="23" t="s">
        <v>31</v>
      </c>
      <c r="T118" s="23" t="s">
        <v>31</v>
      </c>
      <c r="U118" s="38" t="s">
        <v>93</v>
      </c>
      <c r="V118" s="38">
        <v>1.5</v>
      </c>
      <c r="W118" s="38" t="s">
        <v>94</v>
      </c>
      <c r="X118" s="38" t="s">
        <v>31</v>
      </c>
      <c r="Y118" s="38" t="s">
        <v>95</v>
      </c>
    </row>
    <row r="119" spans="1:25" x14ac:dyDescent="0.2">
      <c r="A119" s="37" t="s">
        <v>90</v>
      </c>
      <c r="B119" s="38" t="s">
        <v>25</v>
      </c>
      <c r="C119" s="38" t="s">
        <v>26</v>
      </c>
      <c r="D119" s="38" t="s">
        <v>91</v>
      </c>
      <c r="E119" s="38" t="s">
        <v>92</v>
      </c>
      <c r="F119" s="38">
        <v>2023</v>
      </c>
      <c r="G119" s="65" t="s">
        <v>60</v>
      </c>
      <c r="H119" s="65" t="s">
        <v>53</v>
      </c>
      <c r="I119" s="23" t="s">
        <v>31</v>
      </c>
      <c r="J119" s="38" t="s">
        <v>32</v>
      </c>
      <c r="K119" s="23">
        <v>2</v>
      </c>
      <c r="L119" s="23">
        <v>10</v>
      </c>
      <c r="M119" s="23">
        <v>475</v>
      </c>
      <c r="N119" s="29">
        <v>4750</v>
      </c>
      <c r="O119" s="23" t="s">
        <v>31</v>
      </c>
      <c r="P119" s="38" t="s">
        <v>33</v>
      </c>
      <c r="Q119" s="38">
        <v>1620.75</v>
      </c>
      <c r="R119" s="38">
        <v>4</v>
      </c>
      <c r="S119" s="23" t="s">
        <v>31</v>
      </c>
      <c r="T119" s="23" t="s">
        <v>31</v>
      </c>
      <c r="U119" s="38" t="s">
        <v>93</v>
      </c>
      <c r="V119" s="38">
        <v>3</v>
      </c>
      <c r="W119" s="38" t="s">
        <v>94</v>
      </c>
      <c r="X119" s="38" t="s">
        <v>31</v>
      </c>
      <c r="Y119" s="38" t="s">
        <v>95</v>
      </c>
    </row>
    <row r="120" spans="1:25" x14ac:dyDescent="0.2">
      <c r="A120" s="37" t="s">
        <v>90</v>
      </c>
      <c r="B120" s="38" t="s">
        <v>25</v>
      </c>
      <c r="C120" s="38" t="s">
        <v>26</v>
      </c>
      <c r="D120" s="38" t="s">
        <v>91</v>
      </c>
      <c r="E120" s="38" t="s">
        <v>92</v>
      </c>
      <c r="F120" s="38">
        <v>2023</v>
      </c>
      <c r="G120" s="65" t="s">
        <v>69</v>
      </c>
      <c r="H120" s="65" t="s">
        <v>53</v>
      </c>
      <c r="I120" s="23" t="s">
        <v>31</v>
      </c>
      <c r="J120" s="38" t="s">
        <v>32</v>
      </c>
      <c r="K120" s="23">
        <v>2</v>
      </c>
      <c r="L120" s="23">
        <v>8</v>
      </c>
      <c r="M120" s="23">
        <v>475</v>
      </c>
      <c r="N120" s="29">
        <v>3800</v>
      </c>
      <c r="O120" s="23" t="s">
        <v>31</v>
      </c>
      <c r="P120" s="38" t="s">
        <v>33</v>
      </c>
      <c r="Q120" s="38">
        <v>1620.75</v>
      </c>
      <c r="R120" s="38">
        <v>4</v>
      </c>
      <c r="S120" s="23" t="s">
        <v>31</v>
      </c>
      <c r="T120" s="23" t="s">
        <v>31</v>
      </c>
      <c r="U120" s="38" t="s">
        <v>93</v>
      </c>
      <c r="V120" s="38">
        <v>3</v>
      </c>
      <c r="W120" s="38" t="s">
        <v>94</v>
      </c>
      <c r="X120" s="38" t="s">
        <v>31</v>
      </c>
      <c r="Y120" s="38" t="s">
        <v>95</v>
      </c>
    </row>
    <row r="121" spans="1:25" x14ac:dyDescent="0.2">
      <c r="A121" s="37" t="s">
        <v>90</v>
      </c>
      <c r="B121" s="38" t="s">
        <v>25</v>
      </c>
      <c r="C121" s="38" t="s">
        <v>26</v>
      </c>
      <c r="D121" s="38" t="s">
        <v>91</v>
      </c>
      <c r="E121" s="38" t="s">
        <v>92</v>
      </c>
      <c r="F121" s="38">
        <v>2023</v>
      </c>
      <c r="G121" s="65" t="s">
        <v>155</v>
      </c>
      <c r="H121" s="65" t="s">
        <v>53</v>
      </c>
      <c r="I121" s="23" t="s">
        <v>31</v>
      </c>
      <c r="J121" s="38" t="s">
        <v>32</v>
      </c>
      <c r="K121" s="23">
        <v>3</v>
      </c>
      <c r="L121" s="23">
        <v>10</v>
      </c>
      <c r="M121" s="23">
        <v>475</v>
      </c>
      <c r="N121" s="29">
        <v>4750</v>
      </c>
      <c r="O121" s="23" t="s">
        <v>31</v>
      </c>
      <c r="P121" s="38" t="s">
        <v>33</v>
      </c>
      <c r="Q121" s="38">
        <v>1620.75</v>
      </c>
      <c r="R121" s="38">
        <v>6</v>
      </c>
      <c r="S121" s="23" t="s">
        <v>31</v>
      </c>
      <c r="T121" s="23" t="s">
        <v>31</v>
      </c>
      <c r="U121" s="38" t="s">
        <v>93</v>
      </c>
      <c r="V121" s="38">
        <v>4.5</v>
      </c>
      <c r="W121" s="38" t="s">
        <v>94</v>
      </c>
      <c r="X121" s="38" t="s">
        <v>31</v>
      </c>
      <c r="Y121" s="38" t="s">
        <v>95</v>
      </c>
    </row>
    <row r="122" spans="1:25" x14ac:dyDescent="0.2">
      <c r="A122" s="37" t="s">
        <v>90</v>
      </c>
      <c r="B122" s="38" t="s">
        <v>25</v>
      </c>
      <c r="C122" s="38" t="s">
        <v>26</v>
      </c>
      <c r="D122" s="38" t="s">
        <v>91</v>
      </c>
      <c r="E122" s="38" t="s">
        <v>92</v>
      </c>
      <c r="F122" s="38">
        <v>2023</v>
      </c>
      <c r="G122" s="65" t="s">
        <v>156</v>
      </c>
      <c r="H122" s="65" t="s">
        <v>157</v>
      </c>
      <c r="I122" s="23" t="s">
        <v>31</v>
      </c>
      <c r="J122" s="38" t="s">
        <v>32</v>
      </c>
      <c r="K122" s="23">
        <v>1</v>
      </c>
      <c r="L122" s="23">
        <v>6</v>
      </c>
      <c r="M122" s="23">
        <v>475</v>
      </c>
      <c r="N122" s="29">
        <v>2850</v>
      </c>
      <c r="O122" s="23" t="s">
        <v>31</v>
      </c>
      <c r="P122" s="38" t="s">
        <v>33</v>
      </c>
      <c r="Q122" s="38">
        <v>1620.75</v>
      </c>
      <c r="R122" s="38">
        <v>2</v>
      </c>
      <c r="S122" s="23" t="s">
        <v>31</v>
      </c>
      <c r="T122" s="23" t="s">
        <v>31</v>
      </c>
      <c r="U122" s="38" t="s">
        <v>93</v>
      </c>
      <c r="V122" s="38">
        <v>1.5</v>
      </c>
      <c r="W122" s="38" t="s">
        <v>94</v>
      </c>
      <c r="X122" s="38" t="s">
        <v>31</v>
      </c>
      <c r="Y122" s="38" t="s">
        <v>95</v>
      </c>
    </row>
    <row r="123" spans="1:25" x14ac:dyDescent="0.2">
      <c r="A123" s="37" t="s">
        <v>90</v>
      </c>
      <c r="B123" s="38" t="s">
        <v>25</v>
      </c>
      <c r="C123" s="38" t="s">
        <v>26</v>
      </c>
      <c r="D123" s="38" t="s">
        <v>91</v>
      </c>
      <c r="E123" s="38" t="s">
        <v>92</v>
      </c>
      <c r="F123" s="38">
        <v>2023</v>
      </c>
      <c r="G123" s="65" t="s">
        <v>158</v>
      </c>
      <c r="H123" s="65" t="s">
        <v>159</v>
      </c>
      <c r="I123" s="23" t="s">
        <v>31</v>
      </c>
      <c r="J123" s="38" t="s">
        <v>32</v>
      </c>
      <c r="K123" s="23">
        <v>1</v>
      </c>
      <c r="L123" s="23">
        <v>6</v>
      </c>
      <c r="M123" s="23">
        <v>475</v>
      </c>
      <c r="N123" s="29">
        <v>2850</v>
      </c>
      <c r="O123" s="23" t="s">
        <v>31</v>
      </c>
      <c r="P123" s="38" t="s">
        <v>33</v>
      </c>
      <c r="Q123" s="38">
        <v>1620.75</v>
      </c>
      <c r="R123" s="38">
        <v>2</v>
      </c>
      <c r="S123" s="23" t="s">
        <v>31</v>
      </c>
      <c r="T123" s="23" t="s">
        <v>31</v>
      </c>
      <c r="U123" s="38" t="s">
        <v>93</v>
      </c>
      <c r="V123" s="38">
        <v>1.5</v>
      </c>
      <c r="W123" s="38" t="s">
        <v>94</v>
      </c>
      <c r="X123" s="38" t="s">
        <v>31</v>
      </c>
      <c r="Y123" s="38" t="s">
        <v>95</v>
      </c>
    </row>
    <row r="124" spans="1:25" x14ac:dyDescent="0.2">
      <c r="A124" s="37" t="s">
        <v>90</v>
      </c>
      <c r="B124" s="38" t="s">
        <v>25</v>
      </c>
      <c r="C124" s="38" t="s">
        <v>26</v>
      </c>
      <c r="D124" s="38" t="s">
        <v>91</v>
      </c>
      <c r="E124" s="38" t="s">
        <v>92</v>
      </c>
      <c r="F124" s="38">
        <v>2023</v>
      </c>
      <c r="G124" s="65" t="s">
        <v>160</v>
      </c>
      <c r="H124" s="65" t="s">
        <v>161</v>
      </c>
      <c r="I124" s="23" t="s">
        <v>31</v>
      </c>
      <c r="J124" s="38" t="s">
        <v>32</v>
      </c>
      <c r="K124" s="23">
        <v>1</v>
      </c>
      <c r="L124" s="23">
        <v>6</v>
      </c>
      <c r="M124" s="23">
        <v>475</v>
      </c>
      <c r="N124" s="29">
        <v>2850</v>
      </c>
      <c r="O124" s="23" t="s">
        <v>31</v>
      </c>
      <c r="P124" s="38" t="s">
        <v>33</v>
      </c>
      <c r="Q124" s="38">
        <v>1620.75</v>
      </c>
      <c r="R124" s="38">
        <v>2</v>
      </c>
      <c r="S124" s="23" t="s">
        <v>31</v>
      </c>
      <c r="T124" s="23" t="s">
        <v>31</v>
      </c>
      <c r="U124" s="38" t="s">
        <v>93</v>
      </c>
      <c r="V124" s="38">
        <v>1.5</v>
      </c>
      <c r="W124" s="38" t="s">
        <v>94</v>
      </c>
      <c r="X124" s="38" t="s">
        <v>31</v>
      </c>
      <c r="Y124" s="38" t="s">
        <v>95</v>
      </c>
    </row>
    <row r="125" spans="1:25" x14ac:dyDescent="0.2">
      <c r="A125" s="37" t="s">
        <v>90</v>
      </c>
      <c r="B125" s="38" t="s">
        <v>25</v>
      </c>
      <c r="C125" s="38" t="s">
        <v>26</v>
      </c>
      <c r="D125" s="38" t="s">
        <v>91</v>
      </c>
      <c r="E125" s="38" t="s">
        <v>92</v>
      </c>
      <c r="F125" s="38">
        <v>2023</v>
      </c>
      <c r="G125" s="65" t="s">
        <v>162</v>
      </c>
      <c r="H125" s="65" t="s">
        <v>163</v>
      </c>
      <c r="I125" s="23" t="s">
        <v>31</v>
      </c>
      <c r="J125" s="38" t="s">
        <v>32</v>
      </c>
      <c r="K125" s="23">
        <v>1</v>
      </c>
      <c r="L125" s="23">
        <v>6</v>
      </c>
      <c r="M125" s="23">
        <v>475</v>
      </c>
      <c r="N125" s="29">
        <v>2850</v>
      </c>
      <c r="O125" s="23" t="s">
        <v>31</v>
      </c>
      <c r="P125" s="38" t="s">
        <v>33</v>
      </c>
      <c r="Q125" s="38">
        <v>1620.75</v>
      </c>
      <c r="R125" s="38">
        <v>2</v>
      </c>
      <c r="S125" s="23" t="s">
        <v>31</v>
      </c>
      <c r="T125" s="23" t="s">
        <v>31</v>
      </c>
      <c r="U125" s="38" t="s">
        <v>93</v>
      </c>
      <c r="V125" s="38">
        <v>1.5</v>
      </c>
      <c r="W125" s="38" t="s">
        <v>94</v>
      </c>
      <c r="X125" s="38" t="s">
        <v>31</v>
      </c>
      <c r="Y125" s="38" t="s">
        <v>95</v>
      </c>
    </row>
    <row r="126" spans="1:25" x14ac:dyDescent="0.2">
      <c r="A126" s="37" t="s">
        <v>90</v>
      </c>
      <c r="B126" s="38" t="s">
        <v>25</v>
      </c>
      <c r="C126" s="38" t="s">
        <v>26</v>
      </c>
      <c r="D126" s="38" t="s">
        <v>91</v>
      </c>
      <c r="E126" s="38" t="s">
        <v>92</v>
      </c>
      <c r="F126" s="38">
        <v>2023</v>
      </c>
      <c r="G126" s="23" t="s">
        <v>114</v>
      </c>
      <c r="H126" s="23" t="s">
        <v>164</v>
      </c>
      <c r="I126" s="23" t="s">
        <v>31</v>
      </c>
      <c r="J126" s="38" t="s">
        <v>32</v>
      </c>
      <c r="K126" s="23">
        <v>1</v>
      </c>
      <c r="L126" s="23">
        <v>6</v>
      </c>
      <c r="M126" s="23">
        <v>475</v>
      </c>
      <c r="N126" s="29">
        <v>2850</v>
      </c>
      <c r="O126" s="23" t="s">
        <v>31</v>
      </c>
      <c r="P126" s="38" t="s">
        <v>33</v>
      </c>
      <c r="Q126" s="38">
        <v>1620.75</v>
      </c>
      <c r="R126" s="38">
        <v>2</v>
      </c>
      <c r="S126" s="23" t="s">
        <v>31</v>
      </c>
      <c r="T126" s="23" t="s">
        <v>31</v>
      </c>
      <c r="U126" s="38" t="s">
        <v>93</v>
      </c>
      <c r="V126" s="38">
        <v>1.5</v>
      </c>
      <c r="W126" s="38" t="s">
        <v>94</v>
      </c>
      <c r="X126" s="38" t="s">
        <v>31</v>
      </c>
      <c r="Y126" s="38" t="s">
        <v>95</v>
      </c>
    </row>
    <row r="127" spans="1:25" x14ac:dyDescent="0.2">
      <c r="A127" s="37" t="s">
        <v>90</v>
      </c>
      <c r="B127" s="38" t="s">
        <v>25</v>
      </c>
      <c r="C127" s="38" t="s">
        <v>26</v>
      </c>
      <c r="D127" s="38" t="s">
        <v>91</v>
      </c>
      <c r="E127" s="38" t="s">
        <v>92</v>
      </c>
      <c r="F127" s="38">
        <v>2023</v>
      </c>
      <c r="G127" s="23" t="s">
        <v>147</v>
      </c>
      <c r="H127" s="23" t="s">
        <v>51</v>
      </c>
      <c r="I127" s="23" t="s">
        <v>31</v>
      </c>
      <c r="J127" s="38" t="s">
        <v>32</v>
      </c>
      <c r="K127" s="23">
        <v>1</v>
      </c>
      <c r="L127" s="23">
        <v>6</v>
      </c>
      <c r="M127" s="23">
        <v>475</v>
      </c>
      <c r="N127" s="29">
        <v>2850</v>
      </c>
      <c r="O127" s="23" t="s">
        <v>31</v>
      </c>
      <c r="P127" s="38" t="s">
        <v>33</v>
      </c>
      <c r="Q127" s="38">
        <v>1620.75</v>
      </c>
      <c r="R127" s="38">
        <v>2</v>
      </c>
      <c r="S127" s="23" t="s">
        <v>31</v>
      </c>
      <c r="T127" s="23" t="s">
        <v>31</v>
      </c>
      <c r="U127" s="38" t="s">
        <v>93</v>
      </c>
      <c r="V127" s="38">
        <v>1.5</v>
      </c>
      <c r="W127" s="38" t="s">
        <v>94</v>
      </c>
      <c r="X127" s="38" t="s">
        <v>31</v>
      </c>
      <c r="Y127" s="38" t="s">
        <v>95</v>
      </c>
    </row>
    <row r="128" spans="1:25" x14ac:dyDescent="0.2">
      <c r="A128" s="37" t="s">
        <v>90</v>
      </c>
      <c r="B128" s="38" t="s">
        <v>25</v>
      </c>
      <c r="C128" s="38" t="s">
        <v>26</v>
      </c>
      <c r="D128" s="38" t="s">
        <v>91</v>
      </c>
      <c r="E128" s="38" t="s">
        <v>92</v>
      </c>
      <c r="F128" s="38">
        <v>2023</v>
      </c>
      <c r="G128" s="23" t="s">
        <v>50</v>
      </c>
      <c r="H128" s="23" t="s">
        <v>51</v>
      </c>
      <c r="I128" s="23" t="s">
        <v>31</v>
      </c>
      <c r="J128" s="38" t="s">
        <v>32</v>
      </c>
      <c r="K128" s="23">
        <v>1</v>
      </c>
      <c r="L128" s="23">
        <v>6</v>
      </c>
      <c r="M128" s="23">
        <v>475</v>
      </c>
      <c r="N128" s="29">
        <v>2850</v>
      </c>
      <c r="O128" s="23" t="s">
        <v>31</v>
      </c>
      <c r="P128" s="38" t="s">
        <v>33</v>
      </c>
      <c r="Q128" s="38">
        <v>1620.75</v>
      </c>
      <c r="R128" s="38">
        <v>2</v>
      </c>
      <c r="S128" s="23" t="s">
        <v>31</v>
      </c>
      <c r="T128" s="23" t="s">
        <v>31</v>
      </c>
      <c r="U128" s="38" t="s">
        <v>93</v>
      </c>
      <c r="V128" s="38">
        <v>1.5</v>
      </c>
      <c r="W128" s="38" t="s">
        <v>94</v>
      </c>
      <c r="X128" s="38" t="s">
        <v>31</v>
      </c>
      <c r="Y128" s="38" t="s">
        <v>95</v>
      </c>
    </row>
    <row r="129" spans="1:25" x14ac:dyDescent="0.2">
      <c r="A129" s="37" t="s">
        <v>90</v>
      </c>
      <c r="B129" s="38" t="s">
        <v>25</v>
      </c>
      <c r="C129" s="38" t="s">
        <v>26</v>
      </c>
      <c r="D129" s="38" t="s">
        <v>91</v>
      </c>
      <c r="E129" s="38" t="s">
        <v>92</v>
      </c>
      <c r="F129" s="38">
        <v>2023</v>
      </c>
      <c r="G129" s="23" t="s">
        <v>165</v>
      </c>
      <c r="H129" s="23" t="s">
        <v>51</v>
      </c>
      <c r="I129" s="23" t="s">
        <v>31</v>
      </c>
      <c r="J129" s="38" t="s">
        <v>32</v>
      </c>
      <c r="K129" s="23">
        <v>1</v>
      </c>
      <c r="L129" s="23">
        <v>6</v>
      </c>
      <c r="M129" s="23">
        <v>475</v>
      </c>
      <c r="N129" s="29">
        <v>2850</v>
      </c>
      <c r="O129" s="23" t="s">
        <v>31</v>
      </c>
      <c r="P129" s="38" t="s">
        <v>33</v>
      </c>
      <c r="Q129" s="38">
        <v>1620.75</v>
      </c>
      <c r="R129" s="38">
        <v>2</v>
      </c>
      <c r="S129" s="23" t="s">
        <v>31</v>
      </c>
      <c r="T129" s="23" t="s">
        <v>31</v>
      </c>
      <c r="U129" s="38" t="s">
        <v>93</v>
      </c>
      <c r="V129" s="38">
        <v>1.5</v>
      </c>
      <c r="W129" s="38" t="s">
        <v>94</v>
      </c>
      <c r="X129" s="38" t="s">
        <v>31</v>
      </c>
      <c r="Y129" s="38" t="s">
        <v>95</v>
      </c>
    </row>
    <row r="130" spans="1:25" x14ac:dyDescent="0.2">
      <c r="A130" s="37" t="s">
        <v>90</v>
      </c>
      <c r="B130" s="23" t="s">
        <v>25</v>
      </c>
      <c r="C130" s="23" t="s">
        <v>26</v>
      </c>
      <c r="D130" s="38" t="s">
        <v>91</v>
      </c>
      <c r="E130" s="38" t="s">
        <v>92</v>
      </c>
      <c r="F130" s="38">
        <v>2023</v>
      </c>
      <c r="G130" s="23" t="s">
        <v>166</v>
      </c>
      <c r="H130" s="23" t="s">
        <v>167</v>
      </c>
      <c r="I130" s="23" t="s">
        <v>31</v>
      </c>
      <c r="J130" s="23" t="s">
        <v>32</v>
      </c>
      <c r="K130" s="23">
        <v>2</v>
      </c>
      <c r="L130" s="23">
        <v>4</v>
      </c>
      <c r="M130" s="23">
        <v>475</v>
      </c>
      <c r="N130" s="29">
        <v>1403</v>
      </c>
      <c r="O130" s="23" t="s">
        <v>31</v>
      </c>
      <c r="P130" s="23" t="s">
        <v>33</v>
      </c>
      <c r="Q130" s="38">
        <v>1620.75</v>
      </c>
      <c r="R130" s="38">
        <v>4</v>
      </c>
      <c r="S130" s="23" t="s">
        <v>31</v>
      </c>
      <c r="T130" s="23" t="s">
        <v>31</v>
      </c>
      <c r="U130" s="38" t="s">
        <v>93</v>
      </c>
      <c r="V130" s="38">
        <v>3</v>
      </c>
      <c r="W130" s="38" t="s">
        <v>94</v>
      </c>
      <c r="X130" s="38" t="s">
        <v>31</v>
      </c>
      <c r="Y130" s="38" t="s">
        <v>95</v>
      </c>
    </row>
    <row r="131" spans="1:25" x14ac:dyDescent="0.2">
      <c r="A131" s="37" t="s">
        <v>90</v>
      </c>
      <c r="B131" s="38" t="s">
        <v>25</v>
      </c>
      <c r="C131" s="38" t="s">
        <v>26</v>
      </c>
      <c r="D131" s="38" t="s">
        <v>91</v>
      </c>
      <c r="E131" s="38" t="s">
        <v>92</v>
      </c>
      <c r="F131" s="38">
        <v>2023</v>
      </c>
      <c r="G131" s="23" t="s">
        <v>168</v>
      </c>
      <c r="H131" s="23" t="s">
        <v>169</v>
      </c>
      <c r="I131" s="23" t="s">
        <v>31</v>
      </c>
      <c r="J131" s="38" t="s">
        <v>32</v>
      </c>
      <c r="K131" s="23">
        <v>1</v>
      </c>
      <c r="L131" s="23">
        <v>6</v>
      </c>
      <c r="M131" s="23">
        <v>475</v>
      </c>
      <c r="N131" s="29">
        <v>2850</v>
      </c>
      <c r="O131" s="23" t="s">
        <v>31</v>
      </c>
      <c r="P131" s="38" t="s">
        <v>33</v>
      </c>
      <c r="Q131" s="38">
        <v>1620.75</v>
      </c>
      <c r="R131" s="38">
        <v>2</v>
      </c>
      <c r="S131" s="23" t="s">
        <v>31</v>
      </c>
      <c r="T131" s="23" t="s">
        <v>31</v>
      </c>
      <c r="U131" s="38" t="s">
        <v>93</v>
      </c>
      <c r="V131" s="38">
        <v>1.5</v>
      </c>
      <c r="W131" s="38" t="s">
        <v>94</v>
      </c>
      <c r="X131" s="38" t="s">
        <v>31</v>
      </c>
      <c r="Y131" s="38" t="s">
        <v>95</v>
      </c>
    </row>
    <row r="132" spans="1:25" x14ac:dyDescent="0.2">
      <c r="A132" s="37" t="s">
        <v>90</v>
      </c>
      <c r="B132" s="23" t="s">
        <v>25</v>
      </c>
      <c r="C132" s="23" t="s">
        <v>26</v>
      </c>
      <c r="D132" s="38" t="s">
        <v>91</v>
      </c>
      <c r="E132" s="38" t="s">
        <v>92</v>
      </c>
      <c r="F132" s="38">
        <v>2023</v>
      </c>
      <c r="G132" s="23" t="s">
        <v>170</v>
      </c>
      <c r="H132" s="23" t="s">
        <v>64</v>
      </c>
      <c r="I132" s="23" t="s">
        <v>31</v>
      </c>
      <c r="J132" s="23" t="s">
        <v>32</v>
      </c>
      <c r="K132" s="23">
        <v>2</v>
      </c>
      <c r="L132" s="23">
        <v>6</v>
      </c>
      <c r="M132" s="23">
        <v>475</v>
      </c>
      <c r="N132" s="29">
        <v>1403</v>
      </c>
      <c r="O132" s="23" t="s">
        <v>31</v>
      </c>
      <c r="P132" s="23" t="s">
        <v>33</v>
      </c>
      <c r="Q132" s="38">
        <v>1620.75</v>
      </c>
      <c r="R132" s="38">
        <v>4</v>
      </c>
      <c r="S132" s="23" t="s">
        <v>31</v>
      </c>
      <c r="T132" s="23" t="s">
        <v>31</v>
      </c>
      <c r="U132" s="38" t="s">
        <v>93</v>
      </c>
      <c r="V132" s="38">
        <v>3</v>
      </c>
      <c r="W132" s="38" t="s">
        <v>94</v>
      </c>
      <c r="X132" s="38" t="s">
        <v>31</v>
      </c>
      <c r="Y132" s="38" t="s">
        <v>95</v>
      </c>
    </row>
    <row r="133" spans="1:25" x14ac:dyDescent="0.2">
      <c r="A133" s="37" t="s">
        <v>90</v>
      </c>
      <c r="B133" s="38" t="s">
        <v>25</v>
      </c>
      <c r="C133" s="38" t="s">
        <v>26</v>
      </c>
      <c r="D133" s="38" t="s">
        <v>91</v>
      </c>
      <c r="E133" s="38" t="s">
        <v>92</v>
      </c>
      <c r="F133" s="38">
        <v>2023</v>
      </c>
      <c r="G133" s="23" t="s">
        <v>136</v>
      </c>
      <c r="H133" s="23" t="s">
        <v>171</v>
      </c>
      <c r="I133" s="23" t="s">
        <v>31</v>
      </c>
      <c r="J133" s="38" t="s">
        <v>32</v>
      </c>
      <c r="K133" s="23">
        <v>1</v>
      </c>
      <c r="L133" s="23">
        <v>6</v>
      </c>
      <c r="M133" s="23">
        <v>475</v>
      </c>
      <c r="N133" s="29">
        <v>2850</v>
      </c>
      <c r="O133" s="23" t="s">
        <v>31</v>
      </c>
      <c r="P133" s="38" t="s">
        <v>33</v>
      </c>
      <c r="Q133" s="38">
        <v>1620.75</v>
      </c>
      <c r="R133" s="38">
        <v>2</v>
      </c>
      <c r="S133" s="23" t="s">
        <v>31</v>
      </c>
      <c r="T133" s="23" t="s">
        <v>31</v>
      </c>
      <c r="U133" s="38" t="s">
        <v>93</v>
      </c>
      <c r="V133" s="38">
        <v>1.5</v>
      </c>
      <c r="W133" s="38" t="s">
        <v>94</v>
      </c>
      <c r="X133" s="38" t="s">
        <v>31</v>
      </c>
      <c r="Y133" s="38" t="s">
        <v>95</v>
      </c>
    </row>
    <row r="134" spans="1:25" x14ac:dyDescent="0.2">
      <c r="A134" s="37" t="s">
        <v>90</v>
      </c>
      <c r="B134" s="38" t="s">
        <v>25</v>
      </c>
      <c r="C134" s="38" t="s">
        <v>26</v>
      </c>
      <c r="D134" s="38" t="s">
        <v>91</v>
      </c>
      <c r="E134" s="38" t="s">
        <v>92</v>
      </c>
      <c r="F134" s="38">
        <v>2023</v>
      </c>
      <c r="G134" s="23" t="s">
        <v>172</v>
      </c>
      <c r="H134" s="23" t="s">
        <v>173</v>
      </c>
      <c r="I134" s="23" t="s">
        <v>31</v>
      </c>
      <c r="J134" s="38" t="s">
        <v>32</v>
      </c>
      <c r="K134" s="23">
        <v>1</v>
      </c>
      <c r="L134" s="23">
        <v>6</v>
      </c>
      <c r="M134" s="23">
        <v>475</v>
      </c>
      <c r="N134" s="29">
        <v>2850</v>
      </c>
      <c r="O134" s="23" t="s">
        <v>31</v>
      </c>
      <c r="P134" s="38" t="s">
        <v>33</v>
      </c>
      <c r="Q134" s="38">
        <v>1620.75</v>
      </c>
      <c r="R134" s="38">
        <v>2</v>
      </c>
      <c r="S134" s="23" t="s">
        <v>31</v>
      </c>
      <c r="T134" s="23" t="s">
        <v>31</v>
      </c>
      <c r="U134" s="38" t="s">
        <v>93</v>
      </c>
      <c r="V134" s="38">
        <v>1.5</v>
      </c>
      <c r="W134" s="38" t="s">
        <v>94</v>
      </c>
      <c r="X134" s="38" t="s">
        <v>31</v>
      </c>
      <c r="Y134" s="38" t="s">
        <v>95</v>
      </c>
    </row>
    <row r="135" spans="1:25" x14ac:dyDescent="0.2">
      <c r="A135" s="62" t="s">
        <v>90</v>
      </c>
      <c r="B135" s="63" t="s">
        <v>25</v>
      </c>
      <c r="C135" s="63" t="s">
        <v>26</v>
      </c>
      <c r="D135" s="63" t="s">
        <v>174</v>
      </c>
      <c r="E135" s="63" t="s">
        <v>92</v>
      </c>
      <c r="F135" s="63">
        <v>2023</v>
      </c>
      <c r="G135" s="28" t="s">
        <v>175</v>
      </c>
      <c r="H135" s="28" t="s">
        <v>176</v>
      </c>
      <c r="I135" s="28" t="s">
        <v>31</v>
      </c>
      <c r="J135" s="63" t="s">
        <v>32</v>
      </c>
      <c r="K135" s="28">
        <v>1</v>
      </c>
      <c r="L135" s="28">
        <v>6</v>
      </c>
      <c r="M135" s="28">
        <v>475</v>
      </c>
      <c r="N135" s="64">
        <v>2850</v>
      </c>
      <c r="O135" s="28" t="s">
        <v>31</v>
      </c>
      <c r="P135" s="63" t="s">
        <v>33</v>
      </c>
      <c r="Q135" s="63">
        <v>1620.75</v>
      </c>
      <c r="R135" s="63">
        <v>2</v>
      </c>
      <c r="S135" s="28" t="s">
        <v>31</v>
      </c>
      <c r="T135" s="28" t="s">
        <v>31</v>
      </c>
      <c r="U135" s="63" t="s">
        <v>93</v>
      </c>
      <c r="V135" s="63">
        <v>1.5</v>
      </c>
      <c r="W135" s="63" t="s">
        <v>94</v>
      </c>
      <c r="X135" s="63" t="s">
        <v>31</v>
      </c>
      <c r="Y135" s="63" t="s">
        <v>95</v>
      </c>
    </row>
  </sheetData>
  <autoFilter ref="A1:Y135" xr:uid="{00000000-0009-0000-0000-000002000000}"/>
  <mergeCells count="25">
    <mergeCell ref="F1:F3"/>
    <mergeCell ref="A1:A3"/>
    <mergeCell ref="B1:B3"/>
    <mergeCell ref="C1:C3"/>
    <mergeCell ref="D1:D3"/>
    <mergeCell ref="E1:E3"/>
    <mergeCell ref="R1:R3"/>
    <mergeCell ref="G1:G3"/>
    <mergeCell ref="H1:H3"/>
    <mergeCell ref="I1:I3"/>
    <mergeCell ref="J1:J3"/>
    <mergeCell ref="K1:K3"/>
    <mergeCell ref="L1:L3"/>
    <mergeCell ref="M1:M3"/>
    <mergeCell ref="N1:N3"/>
    <mergeCell ref="O1:O3"/>
    <mergeCell ref="P1:P3"/>
    <mergeCell ref="Q1:Q3"/>
    <mergeCell ref="Y1:Y3"/>
    <mergeCell ref="S1:S3"/>
    <mergeCell ref="T1:T3"/>
    <mergeCell ref="U1:U3"/>
    <mergeCell ref="V1:V3"/>
    <mergeCell ref="W1:W3"/>
    <mergeCell ref="X1:X3"/>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1B5B5-BCBA-4A0B-8DD9-2664CB22D3C5}">
  <dimension ref="A2:Y51"/>
  <sheetViews>
    <sheetView topLeftCell="X1" zoomScale="85" zoomScaleNormal="85" workbookViewId="0">
      <pane ySplit="2" topLeftCell="A45" activePane="bottomLeft" state="frozen"/>
      <selection pane="bottomLeft" activeCell="I45" sqref="I45"/>
    </sheetView>
  </sheetViews>
  <sheetFormatPr baseColWidth="10" defaultColWidth="11.42578125" defaultRowHeight="12.75" x14ac:dyDescent="0.25"/>
  <cols>
    <col min="1" max="1" width="13" style="5" bestFit="1" customWidth="1"/>
    <col min="2" max="2" width="24.7109375" style="5" bestFit="1" customWidth="1"/>
    <col min="3" max="3" width="8.7109375" style="5" bestFit="1" customWidth="1"/>
    <col min="4" max="4" width="20.42578125" style="5" bestFit="1" customWidth="1"/>
    <col min="5" max="5" width="13.5703125" style="5" bestFit="1" customWidth="1"/>
    <col min="6" max="6" width="7.85546875" style="5" customWidth="1"/>
    <col min="7" max="7" width="18.140625" style="3" bestFit="1" customWidth="1"/>
    <col min="8" max="8" width="15.140625" style="3" bestFit="1" customWidth="1"/>
    <col min="9" max="9" width="15.140625" style="3" customWidth="1"/>
    <col min="10" max="10" width="12.140625" style="5" customWidth="1"/>
    <col min="11" max="11" width="10" style="3" customWidth="1"/>
    <col min="12" max="18" width="11.42578125" style="3"/>
    <col min="19" max="24" width="11.42578125" style="3" customWidth="1"/>
    <col min="25" max="25" width="47.5703125" style="3" customWidth="1"/>
    <col min="26" max="16384" width="11.42578125" style="3"/>
  </cols>
  <sheetData>
    <row r="2" spans="1:25" ht="51" x14ac:dyDescent="0.25">
      <c r="A2" s="180" t="s">
        <v>0</v>
      </c>
      <c r="B2" s="180" t="s">
        <v>1</v>
      </c>
      <c r="C2" s="180" t="s">
        <v>2</v>
      </c>
      <c r="D2" s="180" t="s">
        <v>3</v>
      </c>
      <c r="E2" s="180" t="s">
        <v>4</v>
      </c>
      <c r="F2" s="180" t="s">
        <v>5</v>
      </c>
      <c r="G2" s="180" t="s">
        <v>6</v>
      </c>
      <c r="H2" s="180" t="s">
        <v>7</v>
      </c>
      <c r="I2" s="181" t="s">
        <v>8</v>
      </c>
      <c r="J2" s="180" t="s">
        <v>9</v>
      </c>
      <c r="K2" s="180" t="s">
        <v>10</v>
      </c>
      <c r="L2" s="180" t="s">
        <v>11</v>
      </c>
      <c r="M2" s="180" t="s">
        <v>12</v>
      </c>
      <c r="N2" s="180" t="s">
        <v>13</v>
      </c>
      <c r="O2" s="183" t="s">
        <v>177</v>
      </c>
      <c r="P2" s="180" t="s">
        <v>15</v>
      </c>
      <c r="Q2" s="180" t="s">
        <v>16</v>
      </c>
      <c r="R2" s="180" t="s">
        <v>17</v>
      </c>
      <c r="S2" s="180" t="s">
        <v>18</v>
      </c>
      <c r="T2" s="180" t="s">
        <v>19</v>
      </c>
      <c r="U2" s="180" t="s">
        <v>15</v>
      </c>
      <c r="V2" s="180" t="s">
        <v>20</v>
      </c>
      <c r="W2" s="181" t="s">
        <v>21</v>
      </c>
      <c r="X2" s="181" t="s">
        <v>178</v>
      </c>
      <c r="Y2" s="180" t="s">
        <v>179</v>
      </c>
    </row>
    <row r="3" spans="1:25" x14ac:dyDescent="0.25">
      <c r="A3" s="1" t="s">
        <v>180</v>
      </c>
      <c r="B3" s="1" t="s">
        <v>181</v>
      </c>
      <c r="C3" s="1" t="s">
        <v>26</v>
      </c>
      <c r="D3" s="1" t="s">
        <v>182</v>
      </c>
      <c r="E3" s="1" t="s">
        <v>183</v>
      </c>
      <c r="F3" s="1">
        <v>2023</v>
      </c>
      <c r="G3" s="2" t="s">
        <v>43</v>
      </c>
      <c r="H3" s="2" t="s">
        <v>59</v>
      </c>
      <c r="I3" s="2" t="s">
        <v>184</v>
      </c>
      <c r="J3" s="1" t="s">
        <v>185</v>
      </c>
      <c r="K3" s="6"/>
      <c r="L3" s="6"/>
      <c r="M3" s="7">
        <v>1191</v>
      </c>
      <c r="N3" s="7"/>
      <c r="O3" s="7"/>
      <c r="P3" s="1" t="s">
        <v>33</v>
      </c>
      <c r="Q3" s="9">
        <f t="shared" ref="Q3:Q15" si="0">M3*3.4121</f>
        <v>4063.8111000000004</v>
      </c>
      <c r="R3" s="1"/>
      <c r="S3" s="6"/>
      <c r="T3" s="6"/>
      <c r="U3" s="1" t="s">
        <v>93</v>
      </c>
      <c r="V3" s="6"/>
      <c r="W3" s="11"/>
      <c r="X3" s="6"/>
      <c r="Y3" s="8" t="s">
        <v>186</v>
      </c>
    </row>
    <row r="4" spans="1:25" x14ac:dyDescent="0.25">
      <c r="A4" s="1" t="s">
        <v>180</v>
      </c>
      <c r="B4" s="1" t="s">
        <v>181</v>
      </c>
      <c r="C4" s="1" t="s">
        <v>26</v>
      </c>
      <c r="D4" s="1" t="s">
        <v>182</v>
      </c>
      <c r="E4" s="1" t="s">
        <v>183</v>
      </c>
      <c r="F4" s="1">
        <v>2023</v>
      </c>
      <c r="G4" s="2" t="s">
        <v>80</v>
      </c>
      <c r="H4" s="2" t="s">
        <v>66</v>
      </c>
      <c r="I4" s="2" t="s">
        <v>187</v>
      </c>
      <c r="J4" s="1" t="s">
        <v>185</v>
      </c>
      <c r="K4" s="6"/>
      <c r="L4" s="6"/>
      <c r="M4" s="7">
        <v>1898</v>
      </c>
      <c r="N4" s="7"/>
      <c r="O4" s="7"/>
      <c r="P4" s="1" t="s">
        <v>33</v>
      </c>
      <c r="Q4" s="9">
        <f t="shared" si="0"/>
        <v>6476.1658000000007</v>
      </c>
      <c r="R4" s="12"/>
      <c r="S4" s="6"/>
      <c r="T4" s="6"/>
      <c r="U4" s="1" t="s">
        <v>93</v>
      </c>
      <c r="V4" s="6"/>
      <c r="W4" s="10"/>
      <c r="X4" s="1"/>
      <c r="Y4" s="8" t="s">
        <v>186</v>
      </c>
    </row>
    <row r="5" spans="1:25" x14ac:dyDescent="0.25">
      <c r="A5" s="1" t="s">
        <v>180</v>
      </c>
      <c r="B5" s="1" t="s">
        <v>181</v>
      </c>
      <c r="C5" s="1" t="s">
        <v>26</v>
      </c>
      <c r="D5" s="1" t="s">
        <v>182</v>
      </c>
      <c r="E5" s="1" t="s">
        <v>183</v>
      </c>
      <c r="F5" s="1">
        <v>2023</v>
      </c>
      <c r="G5" s="2" t="s">
        <v>188</v>
      </c>
      <c r="H5" s="2" t="s">
        <v>143</v>
      </c>
      <c r="I5" s="2" t="s">
        <v>184</v>
      </c>
      <c r="J5" s="1" t="s">
        <v>185</v>
      </c>
      <c r="K5" s="6"/>
      <c r="L5" s="6"/>
      <c r="M5" s="7">
        <v>858</v>
      </c>
      <c r="N5" s="7"/>
      <c r="O5" s="7"/>
      <c r="P5" s="1" t="s">
        <v>33</v>
      </c>
      <c r="Q5" s="9">
        <f t="shared" si="0"/>
        <v>2927.5817999999999</v>
      </c>
      <c r="R5" s="1"/>
      <c r="S5" s="6"/>
      <c r="T5" s="6"/>
      <c r="U5" s="1" t="s">
        <v>93</v>
      </c>
      <c r="V5" s="6"/>
      <c r="W5" s="10"/>
      <c r="X5" s="1"/>
      <c r="Y5" s="8" t="s">
        <v>186</v>
      </c>
    </row>
    <row r="6" spans="1:25" ht="25.5" x14ac:dyDescent="0.25">
      <c r="A6" s="1" t="s">
        <v>180</v>
      </c>
      <c r="B6" s="1" t="s">
        <v>181</v>
      </c>
      <c r="C6" s="1" t="s">
        <v>26</v>
      </c>
      <c r="D6" s="1" t="s">
        <v>182</v>
      </c>
      <c r="E6" s="1" t="s">
        <v>183</v>
      </c>
      <c r="F6" s="1">
        <v>2023</v>
      </c>
      <c r="G6" s="2" t="s">
        <v>189</v>
      </c>
      <c r="H6" s="2" t="s">
        <v>82</v>
      </c>
      <c r="I6" s="2" t="s">
        <v>184</v>
      </c>
      <c r="J6" s="1" t="s">
        <v>32</v>
      </c>
      <c r="K6" s="6">
        <v>1</v>
      </c>
      <c r="L6" s="6">
        <v>1</v>
      </c>
      <c r="M6" s="7">
        <v>1241</v>
      </c>
      <c r="N6" s="7">
        <v>2400</v>
      </c>
      <c r="O6" s="7"/>
      <c r="P6" s="1" t="s">
        <v>33</v>
      </c>
      <c r="Q6" s="9">
        <f t="shared" si="0"/>
        <v>4234.4161000000004</v>
      </c>
      <c r="R6" s="1" t="s">
        <v>190</v>
      </c>
      <c r="S6" s="6"/>
      <c r="T6" s="6"/>
      <c r="U6" s="1" t="s">
        <v>93</v>
      </c>
      <c r="V6" s="6" t="s">
        <v>191</v>
      </c>
      <c r="W6" s="10"/>
      <c r="X6" s="1"/>
      <c r="Y6" s="13" t="s">
        <v>192</v>
      </c>
    </row>
    <row r="7" spans="1:25" x14ac:dyDescent="0.25">
      <c r="A7" s="1" t="s">
        <v>180</v>
      </c>
      <c r="B7" s="1" t="s">
        <v>181</v>
      </c>
      <c r="C7" s="1" t="s">
        <v>26</v>
      </c>
      <c r="D7" s="1" t="s">
        <v>182</v>
      </c>
      <c r="E7" s="1" t="s">
        <v>183</v>
      </c>
      <c r="F7" s="1">
        <v>2023</v>
      </c>
      <c r="G7" s="2" t="s">
        <v>165</v>
      </c>
      <c r="H7" s="2" t="s">
        <v>51</v>
      </c>
      <c r="I7" s="2" t="s">
        <v>193</v>
      </c>
      <c r="J7" s="1" t="s">
        <v>185</v>
      </c>
      <c r="K7" s="6"/>
      <c r="L7" s="6"/>
      <c r="M7" s="7">
        <v>700</v>
      </c>
      <c r="N7" s="7"/>
      <c r="O7" s="7"/>
      <c r="P7" s="1" t="s">
        <v>33</v>
      </c>
      <c r="Q7" s="9">
        <f t="shared" si="0"/>
        <v>2388.4700000000003</v>
      </c>
      <c r="R7" s="1"/>
      <c r="S7" s="6"/>
      <c r="T7" s="6"/>
      <c r="U7" s="1" t="s">
        <v>93</v>
      </c>
      <c r="V7" s="6"/>
      <c r="W7" s="10"/>
      <c r="X7" s="1"/>
      <c r="Y7" s="8" t="s">
        <v>186</v>
      </c>
    </row>
    <row r="8" spans="1:25" x14ac:dyDescent="0.25">
      <c r="A8" s="1" t="s">
        <v>180</v>
      </c>
      <c r="B8" s="1" t="s">
        <v>181</v>
      </c>
      <c r="C8" s="1" t="s">
        <v>26</v>
      </c>
      <c r="D8" s="1" t="s">
        <v>182</v>
      </c>
      <c r="E8" s="1" t="s">
        <v>183</v>
      </c>
      <c r="F8" s="1">
        <v>2023</v>
      </c>
      <c r="G8" s="2" t="s">
        <v>46</v>
      </c>
      <c r="H8" s="2" t="s">
        <v>150</v>
      </c>
      <c r="I8" s="2" t="s">
        <v>194</v>
      </c>
      <c r="J8" s="1" t="s">
        <v>185</v>
      </c>
      <c r="K8" s="6"/>
      <c r="L8" s="6"/>
      <c r="M8" s="7">
        <f>2328-1464</f>
        <v>864</v>
      </c>
      <c r="N8" s="7"/>
      <c r="O8" s="7"/>
      <c r="P8" s="1" t="s">
        <v>33</v>
      </c>
      <c r="Q8" s="9">
        <f t="shared" si="0"/>
        <v>2948.0544</v>
      </c>
      <c r="R8" s="1"/>
      <c r="S8" s="6"/>
      <c r="T8" s="6"/>
      <c r="U8" s="1" t="s">
        <v>93</v>
      </c>
      <c r="V8" s="6"/>
      <c r="W8" s="10"/>
      <c r="X8" s="1"/>
      <c r="Y8" s="13" t="s">
        <v>186</v>
      </c>
    </row>
    <row r="9" spans="1:25" x14ac:dyDescent="0.25">
      <c r="A9" s="1" t="s">
        <v>180</v>
      </c>
      <c r="B9" s="1" t="s">
        <v>181</v>
      </c>
      <c r="C9" s="1" t="s">
        <v>26</v>
      </c>
      <c r="D9" s="1" t="s">
        <v>182</v>
      </c>
      <c r="E9" s="1" t="s">
        <v>183</v>
      </c>
      <c r="F9" s="1">
        <v>2023</v>
      </c>
      <c r="G9" s="2" t="s">
        <v>195</v>
      </c>
      <c r="H9" s="2" t="s">
        <v>49</v>
      </c>
      <c r="I9" s="2" t="s">
        <v>194</v>
      </c>
      <c r="J9" s="1" t="s">
        <v>185</v>
      </c>
      <c r="K9" s="6"/>
      <c r="L9" s="6"/>
      <c r="M9" s="7">
        <v>383</v>
      </c>
      <c r="N9" s="7"/>
      <c r="O9" s="7"/>
      <c r="P9" s="1" t="s">
        <v>33</v>
      </c>
      <c r="Q9" s="9">
        <f t="shared" si="0"/>
        <v>1306.8343</v>
      </c>
      <c r="R9" s="12"/>
      <c r="S9" s="6"/>
      <c r="T9" s="6"/>
      <c r="U9" s="1" t="s">
        <v>93</v>
      </c>
      <c r="V9" s="6"/>
      <c r="W9" s="10"/>
      <c r="X9" s="1"/>
      <c r="Y9" s="8" t="s">
        <v>196</v>
      </c>
    </row>
    <row r="10" spans="1:25" x14ac:dyDescent="0.25">
      <c r="A10" s="1" t="s">
        <v>180</v>
      </c>
      <c r="B10" s="1" t="s">
        <v>181</v>
      </c>
      <c r="C10" s="1" t="s">
        <v>26</v>
      </c>
      <c r="D10" s="1" t="s">
        <v>182</v>
      </c>
      <c r="E10" s="1" t="s">
        <v>183</v>
      </c>
      <c r="F10" s="1">
        <v>2023</v>
      </c>
      <c r="G10" s="2" t="s">
        <v>46</v>
      </c>
      <c r="H10" s="2" t="s">
        <v>49</v>
      </c>
      <c r="I10" s="2" t="s">
        <v>194</v>
      </c>
      <c r="J10" s="1" t="s">
        <v>185</v>
      </c>
      <c r="K10" s="6"/>
      <c r="L10" s="6"/>
      <c r="M10" s="7">
        <v>766</v>
      </c>
      <c r="N10" s="7"/>
      <c r="O10" s="7"/>
      <c r="P10" s="1" t="s">
        <v>33</v>
      </c>
      <c r="Q10" s="9">
        <f t="shared" si="0"/>
        <v>2613.6686</v>
      </c>
      <c r="R10" s="1"/>
      <c r="S10" s="6"/>
      <c r="T10" s="6"/>
      <c r="U10" s="1" t="s">
        <v>93</v>
      </c>
      <c r="V10" s="6"/>
      <c r="W10" s="10"/>
      <c r="X10" s="1"/>
      <c r="Y10" s="8" t="s">
        <v>196</v>
      </c>
    </row>
    <row r="11" spans="1:25" x14ac:dyDescent="0.25">
      <c r="A11" s="1" t="s">
        <v>180</v>
      </c>
      <c r="B11" s="1" t="s">
        <v>181</v>
      </c>
      <c r="C11" s="1" t="s">
        <v>26</v>
      </c>
      <c r="D11" s="1" t="s">
        <v>182</v>
      </c>
      <c r="E11" s="1" t="s">
        <v>183</v>
      </c>
      <c r="F11" s="1">
        <v>2023</v>
      </c>
      <c r="G11" s="74" t="s">
        <v>69</v>
      </c>
      <c r="H11" s="74" t="s">
        <v>53</v>
      </c>
      <c r="I11" s="2" t="s">
        <v>197</v>
      </c>
      <c r="J11" s="1" t="s">
        <v>185</v>
      </c>
      <c r="K11" s="6"/>
      <c r="L11" s="6"/>
      <c r="M11" s="7">
        <v>542</v>
      </c>
      <c r="N11" s="7"/>
      <c r="O11" s="7"/>
      <c r="P11" s="1" t="s">
        <v>33</v>
      </c>
      <c r="Q11" s="9">
        <f t="shared" si="0"/>
        <v>1849.3582000000001</v>
      </c>
      <c r="R11" s="1"/>
      <c r="S11" s="6"/>
      <c r="T11" s="6"/>
      <c r="U11" s="1" t="s">
        <v>93</v>
      </c>
      <c r="V11" s="6"/>
      <c r="W11" s="10"/>
      <c r="X11" s="1"/>
      <c r="Y11" s="8" t="s">
        <v>196</v>
      </c>
    </row>
    <row r="12" spans="1:25" x14ac:dyDescent="0.25">
      <c r="A12" s="1" t="s">
        <v>180</v>
      </c>
      <c r="B12" s="1" t="s">
        <v>181</v>
      </c>
      <c r="C12" s="1" t="s">
        <v>26</v>
      </c>
      <c r="D12" s="1" t="s">
        <v>182</v>
      </c>
      <c r="E12" s="1" t="s">
        <v>183</v>
      </c>
      <c r="F12" s="1">
        <v>2023</v>
      </c>
      <c r="G12" s="2" t="s">
        <v>44</v>
      </c>
      <c r="H12" s="2" t="s">
        <v>150</v>
      </c>
      <c r="I12" s="2" t="s">
        <v>194</v>
      </c>
      <c r="J12" s="1" t="s">
        <v>32</v>
      </c>
      <c r="K12" s="6">
        <v>1</v>
      </c>
      <c r="L12" s="6">
        <v>1</v>
      </c>
      <c r="M12" s="7">
        <v>1788</v>
      </c>
      <c r="N12" s="7">
        <v>3874</v>
      </c>
      <c r="O12" s="7"/>
      <c r="P12" s="1" t="s">
        <v>33</v>
      </c>
      <c r="Q12" s="9">
        <f t="shared" si="0"/>
        <v>6100.8348000000005</v>
      </c>
      <c r="R12" s="1" t="s">
        <v>190</v>
      </c>
      <c r="S12" s="6"/>
      <c r="T12" s="6"/>
      <c r="U12" s="1" t="s">
        <v>93</v>
      </c>
      <c r="V12" s="6" t="s">
        <v>191</v>
      </c>
      <c r="W12" s="10"/>
      <c r="X12" s="1"/>
      <c r="Y12" s="8" t="s">
        <v>198</v>
      </c>
    </row>
    <row r="13" spans="1:25" ht="25.5" x14ac:dyDescent="0.25">
      <c r="A13" s="1" t="s">
        <v>180</v>
      </c>
      <c r="B13" s="1" t="s">
        <v>181</v>
      </c>
      <c r="C13" s="1" t="s">
        <v>26</v>
      </c>
      <c r="D13" s="1" t="s">
        <v>182</v>
      </c>
      <c r="E13" s="1" t="s">
        <v>183</v>
      </c>
      <c r="F13" s="1">
        <v>2023</v>
      </c>
      <c r="G13" s="2" t="s">
        <v>65</v>
      </c>
      <c r="H13" s="2" t="s">
        <v>65</v>
      </c>
      <c r="I13" s="2" t="s">
        <v>187</v>
      </c>
      <c r="J13" s="1" t="s">
        <v>185</v>
      </c>
      <c r="K13" s="6"/>
      <c r="L13" s="6">
        <v>1</v>
      </c>
      <c r="M13" s="7">
        <f>440+78</f>
        <v>518</v>
      </c>
      <c r="N13" s="7">
        <v>800</v>
      </c>
      <c r="O13" s="7"/>
      <c r="P13" s="1" t="s">
        <v>33</v>
      </c>
      <c r="Q13" s="9">
        <f t="shared" si="0"/>
        <v>1767.4678000000001</v>
      </c>
      <c r="R13" s="1"/>
      <c r="S13" s="6"/>
      <c r="T13" s="6"/>
      <c r="U13" s="1" t="s">
        <v>93</v>
      </c>
      <c r="V13" s="6"/>
      <c r="W13" s="10"/>
      <c r="X13" s="1"/>
      <c r="Y13" s="14" t="s">
        <v>199</v>
      </c>
    </row>
    <row r="14" spans="1:25" x14ac:dyDescent="0.25">
      <c r="A14" s="1" t="s">
        <v>180</v>
      </c>
      <c r="B14" s="1" t="s">
        <v>181</v>
      </c>
      <c r="C14" s="1" t="s">
        <v>26</v>
      </c>
      <c r="D14" s="1" t="s">
        <v>182</v>
      </c>
      <c r="E14" s="1" t="s">
        <v>183</v>
      </c>
      <c r="F14" s="1">
        <v>2023</v>
      </c>
      <c r="G14" s="2" t="s">
        <v>200</v>
      </c>
      <c r="H14" s="2" t="s">
        <v>201</v>
      </c>
      <c r="I14" s="2" t="s">
        <v>184</v>
      </c>
      <c r="J14" s="1" t="s">
        <v>185</v>
      </c>
      <c r="K14" s="6"/>
      <c r="L14" s="6"/>
      <c r="M14" s="7">
        <v>172</v>
      </c>
      <c r="N14" s="7"/>
      <c r="O14" s="7"/>
      <c r="P14" s="1" t="s">
        <v>33</v>
      </c>
      <c r="Q14" s="9">
        <f t="shared" si="0"/>
        <v>586.88120000000004</v>
      </c>
      <c r="R14" s="1"/>
      <c r="S14" s="6"/>
      <c r="T14" s="6"/>
      <c r="U14" s="1" t="s">
        <v>93</v>
      </c>
      <c r="V14" s="6"/>
      <c r="W14" s="10"/>
      <c r="X14" s="6"/>
      <c r="Y14" s="8" t="s">
        <v>202</v>
      </c>
    </row>
    <row r="15" spans="1:25" x14ac:dyDescent="0.25">
      <c r="A15" s="1" t="s">
        <v>180</v>
      </c>
      <c r="B15" s="1" t="s">
        <v>181</v>
      </c>
      <c r="C15" s="1" t="s">
        <v>26</v>
      </c>
      <c r="D15" s="1" t="s">
        <v>182</v>
      </c>
      <c r="E15" s="1" t="s">
        <v>183</v>
      </c>
      <c r="F15" s="1">
        <v>2023</v>
      </c>
      <c r="G15" s="2" t="s">
        <v>127</v>
      </c>
      <c r="H15" s="2" t="s">
        <v>127</v>
      </c>
      <c r="I15" s="2" t="s">
        <v>187</v>
      </c>
      <c r="J15" s="1" t="s">
        <v>32</v>
      </c>
      <c r="K15" s="6">
        <v>1</v>
      </c>
      <c r="L15" s="6">
        <v>1</v>
      </c>
      <c r="M15" s="7">
        <v>483</v>
      </c>
      <c r="N15" s="7">
        <v>2400</v>
      </c>
      <c r="O15" s="7"/>
      <c r="P15" s="1" t="s">
        <v>33</v>
      </c>
      <c r="Q15" s="9">
        <f t="shared" si="0"/>
        <v>1648.0443</v>
      </c>
      <c r="R15" s="1" t="s">
        <v>190</v>
      </c>
      <c r="S15" s="6"/>
      <c r="T15" s="6"/>
      <c r="U15" s="1" t="s">
        <v>93</v>
      </c>
      <c r="V15" s="6" t="s">
        <v>191</v>
      </c>
      <c r="W15" s="11"/>
      <c r="X15" s="6"/>
      <c r="Y15" s="8" t="s">
        <v>203</v>
      </c>
    </row>
    <row r="16" spans="1:25" ht="25.5" x14ac:dyDescent="0.25">
      <c r="A16" s="1" t="s">
        <v>180</v>
      </c>
      <c r="B16" s="1" t="s">
        <v>181</v>
      </c>
      <c r="C16" s="1" t="s">
        <v>26</v>
      </c>
      <c r="D16" s="1" t="s">
        <v>182</v>
      </c>
      <c r="E16" s="1" t="s">
        <v>183</v>
      </c>
      <c r="F16" s="1">
        <v>2023</v>
      </c>
      <c r="G16" s="2" t="s">
        <v>204</v>
      </c>
      <c r="H16" s="4" t="s">
        <v>144</v>
      </c>
      <c r="I16" s="2" t="s">
        <v>184</v>
      </c>
      <c r="J16" s="1" t="s">
        <v>185</v>
      </c>
      <c r="K16" s="4"/>
      <c r="L16" s="4"/>
      <c r="M16" s="7">
        <v>208.4</v>
      </c>
      <c r="N16" s="4"/>
      <c r="O16" s="4"/>
      <c r="P16" s="1" t="s">
        <v>33</v>
      </c>
      <c r="Q16" s="9">
        <f>M16*3.4121</f>
        <v>711.08163999999999</v>
      </c>
      <c r="R16" s="1"/>
      <c r="S16" s="6"/>
      <c r="T16" s="6"/>
      <c r="U16" s="1" t="s">
        <v>93</v>
      </c>
      <c r="V16" s="4"/>
      <c r="W16" s="10"/>
      <c r="X16" s="1"/>
      <c r="Y16" s="14" t="s">
        <v>205</v>
      </c>
    </row>
    <row r="17" spans="1:25" ht="25.5" x14ac:dyDescent="0.25">
      <c r="A17" s="1" t="s">
        <v>180</v>
      </c>
      <c r="B17" s="1" t="s">
        <v>181</v>
      </c>
      <c r="C17" s="1" t="s">
        <v>26</v>
      </c>
      <c r="D17" s="1" t="s">
        <v>182</v>
      </c>
      <c r="E17" s="1" t="s">
        <v>183</v>
      </c>
      <c r="F17" s="1">
        <v>2023</v>
      </c>
      <c r="G17" s="2" t="s">
        <v>204</v>
      </c>
      <c r="H17" s="4" t="s">
        <v>206</v>
      </c>
      <c r="I17" s="2" t="s">
        <v>184</v>
      </c>
      <c r="J17" s="1" t="s">
        <v>185</v>
      </c>
      <c r="K17" s="4"/>
      <c r="L17" s="4"/>
      <c r="M17" s="1">
        <v>74</v>
      </c>
      <c r="N17" s="4"/>
      <c r="O17" s="4"/>
      <c r="P17" s="1" t="s">
        <v>33</v>
      </c>
      <c r="Q17" s="9">
        <f>M17*3.4121</f>
        <v>252.49540000000002</v>
      </c>
      <c r="R17" s="1"/>
      <c r="S17" s="6"/>
      <c r="T17" s="6"/>
      <c r="U17" s="1" t="s">
        <v>93</v>
      </c>
      <c r="V17" s="6"/>
      <c r="W17" s="10"/>
      <c r="X17" s="1"/>
      <c r="Y17" s="14" t="s">
        <v>205</v>
      </c>
    </row>
    <row r="18" spans="1:25" ht="25.5" x14ac:dyDescent="0.25">
      <c r="A18" s="1" t="s">
        <v>180</v>
      </c>
      <c r="B18" s="1" t="s">
        <v>181</v>
      </c>
      <c r="C18" s="1" t="s">
        <v>26</v>
      </c>
      <c r="D18" s="1" t="s">
        <v>182</v>
      </c>
      <c r="E18" s="1" t="s">
        <v>183</v>
      </c>
      <c r="F18" s="1">
        <v>2023</v>
      </c>
      <c r="G18" s="2" t="s">
        <v>204</v>
      </c>
      <c r="H18" s="4" t="s">
        <v>207</v>
      </c>
      <c r="I18" s="2" t="s">
        <v>184</v>
      </c>
      <c r="J18" s="1" t="s">
        <v>185</v>
      </c>
      <c r="K18" s="4"/>
      <c r="L18" s="4"/>
      <c r="M18" s="1">
        <v>172</v>
      </c>
      <c r="N18" s="4"/>
      <c r="O18" s="4"/>
      <c r="P18" s="1" t="s">
        <v>33</v>
      </c>
      <c r="Q18" s="9">
        <f t="shared" ref="Q18:Q51" si="1">M18*3.4121</f>
        <v>586.88120000000004</v>
      </c>
      <c r="R18" s="1"/>
      <c r="S18" s="6"/>
      <c r="T18" s="6"/>
      <c r="U18" s="1" t="s">
        <v>93</v>
      </c>
      <c r="V18" s="6"/>
      <c r="W18" s="10"/>
      <c r="X18" s="1"/>
      <c r="Y18" s="14" t="s">
        <v>205</v>
      </c>
    </row>
    <row r="19" spans="1:25" ht="25.5" x14ac:dyDescent="0.25">
      <c r="A19" s="1" t="s">
        <v>180</v>
      </c>
      <c r="B19" s="1" t="s">
        <v>181</v>
      </c>
      <c r="C19" s="1" t="s">
        <v>26</v>
      </c>
      <c r="D19" s="1" t="s">
        <v>182</v>
      </c>
      <c r="E19" s="1" t="s">
        <v>183</v>
      </c>
      <c r="F19" s="1">
        <v>2023</v>
      </c>
      <c r="G19" s="4" t="s">
        <v>208</v>
      </c>
      <c r="H19" s="4" t="s">
        <v>209</v>
      </c>
      <c r="I19" s="2" t="s">
        <v>184</v>
      </c>
      <c r="J19" s="1" t="s">
        <v>185</v>
      </c>
      <c r="K19" s="4"/>
      <c r="L19" s="4"/>
      <c r="M19" s="1">
        <v>172</v>
      </c>
      <c r="N19" s="4"/>
      <c r="O19" s="4"/>
      <c r="P19" s="1" t="s">
        <v>33</v>
      </c>
      <c r="Q19" s="9">
        <f t="shared" si="1"/>
        <v>586.88120000000004</v>
      </c>
      <c r="R19" s="1"/>
      <c r="S19" s="6"/>
      <c r="T19" s="6"/>
      <c r="U19" s="1" t="s">
        <v>93</v>
      </c>
      <c r="V19" s="6"/>
      <c r="W19" s="10"/>
      <c r="X19" s="1"/>
      <c r="Y19" s="14" t="s">
        <v>205</v>
      </c>
    </row>
    <row r="20" spans="1:25" ht="25.5" x14ac:dyDescent="0.25">
      <c r="A20" s="1" t="s">
        <v>180</v>
      </c>
      <c r="B20" s="1" t="s">
        <v>181</v>
      </c>
      <c r="C20" s="1" t="s">
        <v>26</v>
      </c>
      <c r="D20" s="1" t="s">
        <v>182</v>
      </c>
      <c r="E20" s="1" t="s">
        <v>183</v>
      </c>
      <c r="F20" s="1">
        <v>2023</v>
      </c>
      <c r="G20" s="4" t="s">
        <v>210</v>
      </c>
      <c r="H20" s="4" t="s">
        <v>211</v>
      </c>
      <c r="I20" s="2" t="s">
        <v>184</v>
      </c>
      <c r="J20" s="1" t="s">
        <v>185</v>
      </c>
      <c r="K20" s="4"/>
      <c r="L20" s="4"/>
      <c r="M20" s="1">
        <v>172</v>
      </c>
      <c r="N20" s="4"/>
      <c r="O20" s="4"/>
      <c r="P20" s="1" t="s">
        <v>33</v>
      </c>
      <c r="Q20" s="9">
        <f t="shared" si="1"/>
        <v>586.88120000000004</v>
      </c>
      <c r="R20" s="1"/>
      <c r="S20" s="6"/>
      <c r="T20" s="6"/>
      <c r="U20" s="1" t="s">
        <v>93</v>
      </c>
      <c r="V20" s="6"/>
      <c r="W20" s="10"/>
      <c r="X20" s="1"/>
      <c r="Y20" s="14" t="s">
        <v>205</v>
      </c>
    </row>
    <row r="21" spans="1:25" ht="25.5" x14ac:dyDescent="0.25">
      <c r="A21" s="1" t="s">
        <v>180</v>
      </c>
      <c r="B21" s="1" t="s">
        <v>181</v>
      </c>
      <c r="C21" s="1" t="s">
        <v>26</v>
      </c>
      <c r="D21" s="1" t="s">
        <v>182</v>
      </c>
      <c r="E21" s="1" t="s">
        <v>183</v>
      </c>
      <c r="F21" s="1">
        <v>2023</v>
      </c>
      <c r="G21" s="2" t="s">
        <v>204</v>
      </c>
      <c r="H21" s="16" t="s">
        <v>212</v>
      </c>
      <c r="I21" s="2" t="s">
        <v>187</v>
      </c>
      <c r="J21" s="1" t="s">
        <v>185</v>
      </c>
      <c r="K21" s="16"/>
      <c r="L21" s="16"/>
      <c r="M21" s="15">
        <v>572</v>
      </c>
      <c r="N21" s="16"/>
      <c r="O21" s="16"/>
      <c r="P21" s="1" t="s">
        <v>33</v>
      </c>
      <c r="Q21" s="9">
        <f>M21*3.4121</f>
        <v>1951.7212000000002</v>
      </c>
      <c r="R21" s="1"/>
      <c r="S21" s="6"/>
      <c r="T21" s="6"/>
      <c r="U21" s="1" t="s">
        <v>93</v>
      </c>
      <c r="V21" s="6"/>
      <c r="W21" s="10"/>
      <c r="X21" s="1"/>
      <c r="Y21" s="14" t="s">
        <v>205</v>
      </c>
    </row>
    <row r="22" spans="1:25" ht="25.5" x14ac:dyDescent="0.25">
      <c r="A22" s="1" t="s">
        <v>180</v>
      </c>
      <c r="B22" s="1" t="s">
        <v>181</v>
      </c>
      <c r="C22" s="1" t="s">
        <v>26</v>
      </c>
      <c r="D22" s="1" t="s">
        <v>182</v>
      </c>
      <c r="E22" s="1" t="s">
        <v>183</v>
      </c>
      <c r="F22" s="1">
        <v>2023</v>
      </c>
      <c r="G22" s="2" t="s">
        <v>204</v>
      </c>
      <c r="H22" s="16" t="s">
        <v>213</v>
      </c>
      <c r="I22" s="2" t="s">
        <v>187</v>
      </c>
      <c r="J22" s="1" t="s">
        <v>185</v>
      </c>
      <c r="K22" s="16"/>
      <c r="L22" s="16"/>
      <c r="M22" s="15">
        <v>74</v>
      </c>
      <c r="N22" s="16"/>
      <c r="O22" s="16"/>
      <c r="P22" s="1" t="s">
        <v>33</v>
      </c>
      <c r="Q22" s="9">
        <f t="shared" si="1"/>
        <v>252.49540000000002</v>
      </c>
      <c r="R22" s="1"/>
      <c r="S22" s="6"/>
      <c r="T22" s="6"/>
      <c r="U22" s="1" t="s">
        <v>93</v>
      </c>
      <c r="V22" s="6"/>
      <c r="W22" s="10"/>
      <c r="X22" s="1"/>
      <c r="Y22" s="14" t="s">
        <v>205</v>
      </c>
    </row>
    <row r="23" spans="1:25" ht="25.5" x14ac:dyDescent="0.25">
      <c r="A23" s="1" t="s">
        <v>180</v>
      </c>
      <c r="B23" s="1" t="s">
        <v>181</v>
      </c>
      <c r="C23" s="1" t="s">
        <v>26</v>
      </c>
      <c r="D23" s="1" t="s">
        <v>182</v>
      </c>
      <c r="E23" s="1" t="s">
        <v>183</v>
      </c>
      <c r="F23" s="1">
        <v>2023</v>
      </c>
      <c r="G23" s="2" t="s">
        <v>204</v>
      </c>
      <c r="H23" s="16" t="s">
        <v>214</v>
      </c>
      <c r="I23" s="2" t="s">
        <v>187</v>
      </c>
      <c r="J23" s="1" t="s">
        <v>185</v>
      </c>
      <c r="K23" s="16"/>
      <c r="L23" s="16"/>
      <c r="M23" s="15">
        <v>74</v>
      </c>
      <c r="N23" s="16"/>
      <c r="O23" s="16"/>
      <c r="P23" s="1" t="s">
        <v>33</v>
      </c>
      <c r="Q23" s="9">
        <f t="shared" si="1"/>
        <v>252.49540000000002</v>
      </c>
      <c r="R23" s="1"/>
      <c r="S23" s="6"/>
      <c r="T23" s="6"/>
      <c r="U23" s="1" t="s">
        <v>93</v>
      </c>
      <c r="V23" s="6"/>
      <c r="W23" s="10"/>
      <c r="X23" s="1"/>
      <c r="Y23" s="14" t="s">
        <v>205</v>
      </c>
    </row>
    <row r="24" spans="1:25" ht="25.5" x14ac:dyDescent="0.25">
      <c r="A24" s="1" t="s">
        <v>180</v>
      </c>
      <c r="B24" s="1" t="s">
        <v>181</v>
      </c>
      <c r="C24" s="1" t="s">
        <v>26</v>
      </c>
      <c r="D24" s="1" t="s">
        <v>182</v>
      </c>
      <c r="E24" s="1" t="s">
        <v>183</v>
      </c>
      <c r="F24" s="1">
        <v>2023</v>
      </c>
      <c r="G24" s="2" t="s">
        <v>204</v>
      </c>
      <c r="H24" s="16" t="s">
        <v>215</v>
      </c>
      <c r="I24" s="2" t="s">
        <v>187</v>
      </c>
      <c r="J24" s="1" t="s">
        <v>185</v>
      </c>
      <c r="K24" s="16"/>
      <c r="L24" s="16"/>
      <c r="M24" s="15">
        <v>74</v>
      </c>
      <c r="N24" s="16"/>
      <c r="O24" s="16"/>
      <c r="P24" s="1" t="s">
        <v>33</v>
      </c>
      <c r="Q24" s="9">
        <f t="shared" si="1"/>
        <v>252.49540000000002</v>
      </c>
      <c r="R24" s="1"/>
      <c r="S24" s="6"/>
      <c r="T24" s="6"/>
      <c r="U24" s="1" t="s">
        <v>93</v>
      </c>
      <c r="V24" s="6"/>
      <c r="W24" s="10"/>
      <c r="X24" s="1"/>
      <c r="Y24" s="14" t="s">
        <v>205</v>
      </c>
    </row>
    <row r="25" spans="1:25" ht="25.5" x14ac:dyDescent="0.25">
      <c r="A25" s="1" t="s">
        <v>180</v>
      </c>
      <c r="B25" s="1" t="s">
        <v>181</v>
      </c>
      <c r="C25" s="1" t="s">
        <v>26</v>
      </c>
      <c r="D25" s="1" t="s">
        <v>182</v>
      </c>
      <c r="E25" s="1" t="s">
        <v>183</v>
      </c>
      <c r="F25" s="1">
        <v>2023</v>
      </c>
      <c r="G25" s="2" t="s">
        <v>204</v>
      </c>
      <c r="H25" s="16" t="s">
        <v>151</v>
      </c>
      <c r="I25" s="2" t="s">
        <v>187</v>
      </c>
      <c r="J25" s="1" t="s">
        <v>185</v>
      </c>
      <c r="K25" s="16"/>
      <c r="L25" s="16"/>
      <c r="M25" s="15">
        <v>74</v>
      </c>
      <c r="N25" s="16"/>
      <c r="O25" s="16"/>
      <c r="P25" s="1" t="s">
        <v>33</v>
      </c>
      <c r="Q25" s="9">
        <f t="shared" si="1"/>
        <v>252.49540000000002</v>
      </c>
      <c r="R25" s="1"/>
      <c r="S25" s="6"/>
      <c r="T25" s="6"/>
      <c r="U25" s="1" t="s">
        <v>93</v>
      </c>
      <c r="V25" s="6"/>
      <c r="W25" s="10"/>
      <c r="X25" s="1"/>
      <c r="Y25" s="14" t="s">
        <v>205</v>
      </c>
    </row>
    <row r="26" spans="1:25" ht="25.5" x14ac:dyDescent="0.25">
      <c r="A26" s="1" t="s">
        <v>180</v>
      </c>
      <c r="B26" s="1" t="s">
        <v>181</v>
      </c>
      <c r="C26" s="1" t="s">
        <v>26</v>
      </c>
      <c r="D26" s="1" t="s">
        <v>182</v>
      </c>
      <c r="E26" s="1" t="s">
        <v>183</v>
      </c>
      <c r="F26" s="1">
        <v>2023</v>
      </c>
      <c r="G26" s="2" t="s">
        <v>204</v>
      </c>
      <c r="H26" s="16" t="s">
        <v>216</v>
      </c>
      <c r="I26" s="2" t="s">
        <v>187</v>
      </c>
      <c r="J26" s="1" t="s">
        <v>185</v>
      </c>
      <c r="K26" s="16"/>
      <c r="L26" s="16"/>
      <c r="M26" s="15">
        <v>74</v>
      </c>
      <c r="N26" s="16"/>
      <c r="O26" s="16"/>
      <c r="P26" s="1" t="s">
        <v>33</v>
      </c>
      <c r="Q26" s="9">
        <f t="shared" si="1"/>
        <v>252.49540000000002</v>
      </c>
      <c r="R26" s="1"/>
      <c r="S26" s="6"/>
      <c r="T26" s="6"/>
      <c r="U26" s="1" t="s">
        <v>93</v>
      </c>
      <c r="V26" s="6"/>
      <c r="W26" s="10"/>
      <c r="X26" s="1"/>
      <c r="Y26" s="14" t="s">
        <v>205</v>
      </c>
    </row>
    <row r="27" spans="1:25" ht="25.5" x14ac:dyDescent="0.25">
      <c r="A27" s="1" t="s">
        <v>180</v>
      </c>
      <c r="B27" s="1" t="s">
        <v>181</v>
      </c>
      <c r="C27" s="1" t="s">
        <v>26</v>
      </c>
      <c r="D27" s="1" t="s">
        <v>182</v>
      </c>
      <c r="E27" s="1" t="s">
        <v>183</v>
      </c>
      <c r="F27" s="1">
        <v>2023</v>
      </c>
      <c r="G27" s="2" t="s">
        <v>204</v>
      </c>
      <c r="H27" s="16" t="s">
        <v>217</v>
      </c>
      <c r="I27" s="2" t="s">
        <v>187</v>
      </c>
      <c r="J27" s="1" t="s">
        <v>185</v>
      </c>
      <c r="K27" s="16"/>
      <c r="L27" s="16"/>
      <c r="M27" s="15">
        <v>508</v>
      </c>
      <c r="N27" s="16"/>
      <c r="O27" s="16"/>
      <c r="P27" s="1" t="s">
        <v>33</v>
      </c>
      <c r="Q27" s="9">
        <f t="shared" si="1"/>
        <v>1733.3468</v>
      </c>
      <c r="R27" s="1"/>
      <c r="S27" s="6"/>
      <c r="T27" s="6"/>
      <c r="U27" s="1" t="s">
        <v>93</v>
      </c>
      <c r="V27" s="6"/>
      <c r="W27" s="10"/>
      <c r="X27" s="1"/>
      <c r="Y27" s="14" t="s">
        <v>205</v>
      </c>
    </row>
    <row r="28" spans="1:25" ht="38.25" x14ac:dyDescent="0.25">
      <c r="A28" s="1" t="s">
        <v>180</v>
      </c>
      <c r="B28" s="1" t="s">
        <v>181</v>
      </c>
      <c r="C28" s="1" t="s">
        <v>26</v>
      </c>
      <c r="D28" s="1" t="s">
        <v>182</v>
      </c>
      <c r="E28" s="1" t="s">
        <v>183</v>
      </c>
      <c r="F28" s="1">
        <v>2023</v>
      </c>
      <c r="G28" s="2" t="s">
        <v>204</v>
      </c>
      <c r="H28" s="16" t="s">
        <v>66</v>
      </c>
      <c r="I28" s="2" t="s">
        <v>187</v>
      </c>
      <c r="J28" s="1" t="s">
        <v>185</v>
      </c>
      <c r="K28" s="16"/>
      <c r="L28" s="16"/>
      <c r="M28" s="15">
        <v>631.9</v>
      </c>
      <c r="N28" s="16"/>
      <c r="O28" s="16"/>
      <c r="P28" s="1" t="s">
        <v>33</v>
      </c>
      <c r="Q28" s="9">
        <f t="shared" si="1"/>
        <v>2156.10599</v>
      </c>
      <c r="R28" s="1"/>
      <c r="S28" s="6"/>
      <c r="T28" s="6"/>
      <c r="U28" s="1" t="s">
        <v>93</v>
      </c>
      <c r="V28" s="6"/>
      <c r="W28" s="10"/>
      <c r="X28" s="1"/>
      <c r="Y28" s="14" t="s">
        <v>218</v>
      </c>
    </row>
    <row r="29" spans="1:25" ht="25.5" x14ac:dyDescent="0.25">
      <c r="A29" s="1" t="s">
        <v>180</v>
      </c>
      <c r="B29" s="1" t="s">
        <v>181</v>
      </c>
      <c r="C29" s="1" t="s">
        <v>26</v>
      </c>
      <c r="D29" s="1" t="s">
        <v>182</v>
      </c>
      <c r="E29" s="1" t="s">
        <v>183</v>
      </c>
      <c r="F29" s="1">
        <v>2023</v>
      </c>
      <c r="G29" s="2" t="s">
        <v>204</v>
      </c>
      <c r="H29" s="16" t="s">
        <v>110</v>
      </c>
      <c r="I29" s="2" t="s">
        <v>187</v>
      </c>
      <c r="J29" s="1" t="s">
        <v>185</v>
      </c>
      <c r="K29" s="16"/>
      <c r="L29" s="16"/>
      <c r="M29" s="15">
        <v>134.4</v>
      </c>
      <c r="N29" s="16"/>
      <c r="O29" s="16"/>
      <c r="P29" s="1" t="s">
        <v>33</v>
      </c>
      <c r="Q29" s="9">
        <f>M29*3.4121</f>
        <v>458.58624000000003</v>
      </c>
      <c r="R29" s="1"/>
      <c r="S29" s="6"/>
      <c r="T29" s="6"/>
      <c r="U29" s="1" t="s">
        <v>93</v>
      </c>
      <c r="V29" s="6"/>
      <c r="W29" s="10"/>
      <c r="X29" s="1"/>
      <c r="Y29" s="14" t="s">
        <v>205</v>
      </c>
    </row>
    <row r="30" spans="1:25" ht="25.5" x14ac:dyDescent="0.25">
      <c r="A30" s="1" t="s">
        <v>180</v>
      </c>
      <c r="B30" s="1" t="s">
        <v>181</v>
      </c>
      <c r="C30" s="1" t="s">
        <v>26</v>
      </c>
      <c r="D30" s="1" t="s">
        <v>182</v>
      </c>
      <c r="E30" s="1" t="s">
        <v>183</v>
      </c>
      <c r="F30" s="1">
        <v>2023</v>
      </c>
      <c r="G30" s="2" t="s">
        <v>204</v>
      </c>
      <c r="H30" s="16" t="s">
        <v>219</v>
      </c>
      <c r="I30" s="2" t="s">
        <v>187</v>
      </c>
      <c r="J30" s="1" t="s">
        <v>185</v>
      </c>
      <c r="K30" s="16"/>
      <c r="L30" s="16"/>
      <c r="M30" s="15">
        <v>75</v>
      </c>
      <c r="N30" s="16"/>
      <c r="O30" s="16"/>
      <c r="P30" s="1" t="s">
        <v>33</v>
      </c>
      <c r="Q30" s="9">
        <f t="shared" si="1"/>
        <v>255.9075</v>
      </c>
      <c r="R30" s="1"/>
      <c r="S30" s="6"/>
      <c r="T30" s="6"/>
      <c r="U30" s="1" t="s">
        <v>93</v>
      </c>
      <c r="V30" s="6"/>
      <c r="W30" s="10"/>
      <c r="X30" s="1"/>
      <c r="Y30" s="14" t="s">
        <v>205</v>
      </c>
    </row>
    <row r="31" spans="1:25" ht="25.5" x14ac:dyDescent="0.25">
      <c r="A31" s="1" t="s">
        <v>180</v>
      </c>
      <c r="B31" s="1" t="s">
        <v>181</v>
      </c>
      <c r="C31" s="1" t="s">
        <v>26</v>
      </c>
      <c r="D31" s="1" t="s">
        <v>182</v>
      </c>
      <c r="E31" s="1" t="s">
        <v>183</v>
      </c>
      <c r="F31" s="1">
        <v>2023</v>
      </c>
      <c r="G31" s="2" t="s">
        <v>204</v>
      </c>
      <c r="H31" s="16" t="s">
        <v>220</v>
      </c>
      <c r="I31" s="2" t="s">
        <v>187</v>
      </c>
      <c r="J31" s="1" t="s">
        <v>185</v>
      </c>
      <c r="K31" s="16"/>
      <c r="L31" s="16"/>
      <c r="M31" s="15">
        <v>75</v>
      </c>
      <c r="N31" s="16"/>
      <c r="O31" s="16"/>
      <c r="P31" s="1" t="s">
        <v>33</v>
      </c>
      <c r="Q31" s="9">
        <f t="shared" si="1"/>
        <v>255.9075</v>
      </c>
      <c r="R31" s="1"/>
      <c r="S31" s="6"/>
      <c r="T31" s="6"/>
      <c r="U31" s="1" t="s">
        <v>93</v>
      </c>
      <c r="V31" s="6"/>
      <c r="W31" s="10"/>
      <c r="X31" s="1"/>
      <c r="Y31" s="14" t="s">
        <v>205</v>
      </c>
    </row>
    <row r="32" spans="1:25" ht="25.5" x14ac:dyDescent="0.25">
      <c r="A32" s="1" t="s">
        <v>180</v>
      </c>
      <c r="B32" s="1" t="s">
        <v>181</v>
      </c>
      <c r="C32" s="1" t="s">
        <v>26</v>
      </c>
      <c r="D32" s="1" t="s">
        <v>182</v>
      </c>
      <c r="E32" s="1" t="s">
        <v>183</v>
      </c>
      <c r="F32" s="1">
        <v>2023</v>
      </c>
      <c r="G32" s="2" t="s">
        <v>204</v>
      </c>
      <c r="H32" s="16" t="s">
        <v>35</v>
      </c>
      <c r="I32" s="2" t="s">
        <v>187</v>
      </c>
      <c r="J32" s="1" t="s">
        <v>185</v>
      </c>
      <c r="K32" s="16"/>
      <c r="L32" s="16"/>
      <c r="M32" s="20">
        <v>134.9</v>
      </c>
      <c r="N32" s="16"/>
      <c r="O32" s="16"/>
      <c r="P32" s="1" t="s">
        <v>33</v>
      </c>
      <c r="Q32" s="9">
        <f t="shared" si="1"/>
        <v>460.29229000000004</v>
      </c>
      <c r="R32" s="1"/>
      <c r="S32" s="6"/>
      <c r="T32" s="6"/>
      <c r="U32" s="1" t="s">
        <v>93</v>
      </c>
      <c r="V32" s="6"/>
      <c r="W32" s="10"/>
      <c r="X32" s="1"/>
      <c r="Y32" s="14" t="s">
        <v>205</v>
      </c>
    </row>
    <row r="33" spans="1:25" ht="25.5" x14ac:dyDescent="0.25">
      <c r="A33" s="1" t="s">
        <v>180</v>
      </c>
      <c r="B33" s="1" t="s">
        <v>181</v>
      </c>
      <c r="C33" s="1" t="s">
        <v>26</v>
      </c>
      <c r="D33" s="1" t="s">
        <v>182</v>
      </c>
      <c r="E33" s="1" t="s">
        <v>183</v>
      </c>
      <c r="F33" s="1">
        <v>2023</v>
      </c>
      <c r="G33" s="2" t="s">
        <v>204</v>
      </c>
      <c r="H33" s="16" t="s">
        <v>221</v>
      </c>
      <c r="I33" s="2" t="s">
        <v>187</v>
      </c>
      <c r="J33" s="1" t="s">
        <v>185</v>
      </c>
      <c r="K33" s="16"/>
      <c r="L33" s="16"/>
      <c r="M33" s="15">
        <v>75</v>
      </c>
      <c r="N33" s="16"/>
      <c r="O33" s="16"/>
      <c r="P33" s="1" t="s">
        <v>33</v>
      </c>
      <c r="Q33" s="9">
        <f t="shared" si="1"/>
        <v>255.9075</v>
      </c>
      <c r="R33" s="1"/>
      <c r="S33" s="6"/>
      <c r="T33" s="6"/>
      <c r="U33" s="1" t="s">
        <v>93</v>
      </c>
      <c r="V33" s="6"/>
      <c r="W33" s="10"/>
      <c r="X33" s="1"/>
      <c r="Y33" s="14" t="s">
        <v>205</v>
      </c>
    </row>
    <row r="34" spans="1:25" ht="25.5" x14ac:dyDescent="0.25">
      <c r="A34" s="1" t="s">
        <v>180</v>
      </c>
      <c r="B34" s="1" t="s">
        <v>181</v>
      </c>
      <c r="C34" s="1" t="s">
        <v>26</v>
      </c>
      <c r="D34" s="1" t="s">
        <v>182</v>
      </c>
      <c r="E34" s="1" t="s">
        <v>183</v>
      </c>
      <c r="F34" s="1">
        <v>2023</v>
      </c>
      <c r="G34" s="2" t="s">
        <v>204</v>
      </c>
      <c r="H34" s="16" t="s">
        <v>222</v>
      </c>
      <c r="I34" s="2" t="s">
        <v>187</v>
      </c>
      <c r="J34" s="1" t="s">
        <v>185</v>
      </c>
      <c r="K34" s="16"/>
      <c r="L34" s="16"/>
      <c r="M34" s="15">
        <v>75</v>
      </c>
      <c r="N34" s="16"/>
      <c r="O34" s="16"/>
      <c r="P34" s="1" t="s">
        <v>33</v>
      </c>
      <c r="Q34" s="9">
        <f t="shared" si="1"/>
        <v>255.9075</v>
      </c>
      <c r="R34" s="1"/>
      <c r="S34" s="6"/>
      <c r="T34" s="6"/>
      <c r="U34" s="1" t="s">
        <v>93</v>
      </c>
      <c r="V34" s="6"/>
      <c r="W34" s="10"/>
      <c r="X34" s="1"/>
      <c r="Y34" s="14" t="s">
        <v>205</v>
      </c>
    </row>
    <row r="35" spans="1:25" ht="25.5" x14ac:dyDescent="0.25">
      <c r="A35" s="1" t="s">
        <v>180</v>
      </c>
      <c r="B35" s="1" t="s">
        <v>181</v>
      </c>
      <c r="C35" s="1" t="s">
        <v>26</v>
      </c>
      <c r="D35" s="1" t="s">
        <v>182</v>
      </c>
      <c r="E35" s="1" t="s">
        <v>183</v>
      </c>
      <c r="F35" s="1">
        <v>2023</v>
      </c>
      <c r="G35" s="2" t="s">
        <v>204</v>
      </c>
      <c r="H35" s="16" t="s">
        <v>223</v>
      </c>
      <c r="I35" s="2" t="s">
        <v>187</v>
      </c>
      <c r="J35" s="1" t="s">
        <v>185</v>
      </c>
      <c r="K35" s="16"/>
      <c r="L35" s="16"/>
      <c r="M35" s="15">
        <v>75</v>
      </c>
      <c r="N35" s="16"/>
      <c r="O35" s="16"/>
      <c r="P35" s="1" t="s">
        <v>33</v>
      </c>
      <c r="Q35" s="9">
        <f t="shared" si="1"/>
        <v>255.9075</v>
      </c>
      <c r="R35" s="1"/>
      <c r="S35" s="6"/>
      <c r="T35" s="6"/>
      <c r="U35" s="1" t="s">
        <v>93</v>
      </c>
      <c r="V35" s="6"/>
      <c r="W35" s="10"/>
      <c r="X35" s="1"/>
      <c r="Y35" s="14" t="s">
        <v>205</v>
      </c>
    </row>
    <row r="36" spans="1:25" ht="25.5" x14ac:dyDescent="0.25">
      <c r="A36" s="1" t="s">
        <v>180</v>
      </c>
      <c r="B36" s="1" t="s">
        <v>181</v>
      </c>
      <c r="C36" s="1" t="s">
        <v>26</v>
      </c>
      <c r="D36" s="1" t="s">
        <v>182</v>
      </c>
      <c r="E36" s="1" t="s">
        <v>183</v>
      </c>
      <c r="F36" s="1">
        <v>2023</v>
      </c>
      <c r="G36" s="2" t="s">
        <v>204</v>
      </c>
      <c r="H36" s="16" t="s">
        <v>224</v>
      </c>
      <c r="I36" s="2" t="s">
        <v>187</v>
      </c>
      <c r="J36" s="1" t="s">
        <v>185</v>
      </c>
      <c r="K36" s="16"/>
      <c r="L36" s="16"/>
      <c r="M36" s="15">
        <v>75</v>
      </c>
      <c r="N36" s="16"/>
      <c r="O36" s="16"/>
      <c r="P36" s="1" t="s">
        <v>33</v>
      </c>
      <c r="Q36" s="9">
        <f t="shared" si="1"/>
        <v>255.9075</v>
      </c>
      <c r="R36" s="1"/>
      <c r="S36" s="6"/>
      <c r="T36" s="6"/>
      <c r="U36" s="1" t="s">
        <v>93</v>
      </c>
      <c r="V36" s="6"/>
      <c r="W36" s="10"/>
      <c r="X36" s="1"/>
      <c r="Y36" s="14" t="s">
        <v>205</v>
      </c>
    </row>
    <row r="37" spans="1:25" ht="25.5" x14ac:dyDescent="0.25">
      <c r="A37" s="1" t="s">
        <v>180</v>
      </c>
      <c r="B37" s="1" t="s">
        <v>181</v>
      </c>
      <c r="C37" s="1" t="s">
        <v>26</v>
      </c>
      <c r="D37" s="1" t="s">
        <v>182</v>
      </c>
      <c r="E37" s="1" t="s">
        <v>183</v>
      </c>
      <c r="F37" s="1">
        <v>2023</v>
      </c>
      <c r="G37" s="2" t="s">
        <v>204</v>
      </c>
      <c r="H37" s="16" t="s">
        <v>225</v>
      </c>
      <c r="I37" s="2" t="s">
        <v>187</v>
      </c>
      <c r="J37" s="1" t="s">
        <v>185</v>
      </c>
      <c r="K37" s="16"/>
      <c r="L37" s="16"/>
      <c r="M37" s="15">
        <v>75</v>
      </c>
      <c r="N37" s="16"/>
      <c r="O37" s="16"/>
      <c r="P37" s="1" t="s">
        <v>33</v>
      </c>
      <c r="Q37" s="9">
        <f t="shared" si="1"/>
        <v>255.9075</v>
      </c>
      <c r="R37" s="1"/>
      <c r="S37" s="6"/>
      <c r="T37" s="6"/>
      <c r="U37" s="1" t="s">
        <v>93</v>
      </c>
      <c r="V37" s="6"/>
      <c r="W37" s="10"/>
      <c r="X37" s="1"/>
      <c r="Y37" s="14" t="s">
        <v>205</v>
      </c>
    </row>
    <row r="38" spans="1:25" ht="25.5" x14ac:dyDescent="0.25">
      <c r="A38" s="1" t="s">
        <v>180</v>
      </c>
      <c r="B38" s="1" t="s">
        <v>181</v>
      </c>
      <c r="C38" s="1" t="s">
        <v>26</v>
      </c>
      <c r="D38" s="1" t="s">
        <v>182</v>
      </c>
      <c r="E38" s="1" t="s">
        <v>183</v>
      </c>
      <c r="F38" s="1">
        <v>2023</v>
      </c>
      <c r="G38" s="2" t="s">
        <v>204</v>
      </c>
      <c r="H38" s="16" t="s">
        <v>82</v>
      </c>
      <c r="I38" s="2" t="s">
        <v>184</v>
      </c>
      <c r="J38" s="1" t="s">
        <v>185</v>
      </c>
      <c r="K38" s="16"/>
      <c r="L38" s="16"/>
      <c r="M38" s="15">
        <v>565.9</v>
      </c>
      <c r="N38" s="16"/>
      <c r="O38" s="16"/>
      <c r="P38" s="1" t="s">
        <v>33</v>
      </c>
      <c r="Q38" s="9">
        <f t="shared" si="1"/>
        <v>1930.9073900000001</v>
      </c>
      <c r="R38" s="1"/>
      <c r="S38" s="6"/>
      <c r="T38" s="6"/>
      <c r="U38" s="1" t="s">
        <v>93</v>
      </c>
      <c r="V38" s="6"/>
      <c r="W38" s="10"/>
      <c r="X38" s="1"/>
      <c r="Y38" s="14" t="s">
        <v>226</v>
      </c>
    </row>
    <row r="39" spans="1:25" ht="25.5" x14ac:dyDescent="0.25">
      <c r="A39" s="1" t="s">
        <v>180</v>
      </c>
      <c r="B39" s="1" t="s">
        <v>181</v>
      </c>
      <c r="C39" s="1" t="s">
        <v>26</v>
      </c>
      <c r="D39" s="1" t="s">
        <v>182</v>
      </c>
      <c r="E39" s="1" t="s">
        <v>183</v>
      </c>
      <c r="F39" s="1">
        <v>2023</v>
      </c>
      <c r="G39" s="2" t="s">
        <v>204</v>
      </c>
      <c r="H39" s="16" t="s">
        <v>227</v>
      </c>
      <c r="I39" s="2" t="s">
        <v>184</v>
      </c>
      <c r="J39" s="1" t="s">
        <v>185</v>
      </c>
      <c r="K39" s="16"/>
      <c r="L39" s="16"/>
      <c r="M39" s="15">
        <v>546.9</v>
      </c>
      <c r="N39" s="16"/>
      <c r="O39" s="16"/>
      <c r="P39" s="1" t="s">
        <v>33</v>
      </c>
      <c r="Q39" s="9">
        <f t="shared" si="1"/>
        <v>1866.0774899999999</v>
      </c>
      <c r="R39" s="1"/>
      <c r="S39" s="6"/>
      <c r="T39" s="6"/>
      <c r="U39" s="1" t="s">
        <v>93</v>
      </c>
      <c r="V39" s="6"/>
      <c r="W39" s="10"/>
      <c r="X39" s="1"/>
      <c r="Y39" s="14" t="s">
        <v>226</v>
      </c>
    </row>
    <row r="40" spans="1:25" ht="25.5" x14ac:dyDescent="0.25">
      <c r="A40" s="1" t="s">
        <v>180</v>
      </c>
      <c r="B40" s="1" t="s">
        <v>181</v>
      </c>
      <c r="C40" s="1" t="s">
        <v>26</v>
      </c>
      <c r="D40" s="1" t="s">
        <v>182</v>
      </c>
      <c r="E40" s="1" t="s">
        <v>183</v>
      </c>
      <c r="F40" s="1">
        <v>2023</v>
      </c>
      <c r="G40" s="16" t="s">
        <v>228</v>
      </c>
      <c r="H40" s="16" t="s">
        <v>229</v>
      </c>
      <c r="I40" s="2" t="s">
        <v>184</v>
      </c>
      <c r="J40" s="1" t="s">
        <v>185</v>
      </c>
      <c r="K40" s="16"/>
      <c r="L40" s="16"/>
      <c r="M40" s="15">
        <v>446</v>
      </c>
      <c r="N40" s="16"/>
      <c r="O40" s="16"/>
      <c r="P40" s="1" t="s">
        <v>33</v>
      </c>
      <c r="Q40" s="9">
        <f>M40*3.4121</f>
        <v>1521.7966000000001</v>
      </c>
      <c r="R40" s="1"/>
      <c r="S40" s="6"/>
      <c r="T40" s="6"/>
      <c r="U40" s="1" t="s">
        <v>93</v>
      </c>
      <c r="V40" s="6"/>
      <c r="W40" s="10"/>
      <c r="X40" s="1"/>
      <c r="Y40" s="14" t="s">
        <v>205</v>
      </c>
    </row>
    <row r="41" spans="1:25" ht="25.5" x14ac:dyDescent="0.25">
      <c r="A41" s="1" t="s">
        <v>180</v>
      </c>
      <c r="B41" s="1" t="s">
        <v>181</v>
      </c>
      <c r="C41" s="1" t="s">
        <v>26</v>
      </c>
      <c r="D41" s="1" t="s">
        <v>182</v>
      </c>
      <c r="E41" s="1" t="s">
        <v>183</v>
      </c>
      <c r="F41" s="1">
        <v>2023</v>
      </c>
      <c r="G41" s="2" t="s">
        <v>204</v>
      </c>
      <c r="H41" s="16" t="s">
        <v>143</v>
      </c>
      <c r="I41" s="2" t="s">
        <v>184</v>
      </c>
      <c r="J41" s="1" t="s">
        <v>185</v>
      </c>
      <c r="K41" s="16"/>
      <c r="L41" s="16"/>
      <c r="M41" s="15">
        <v>135</v>
      </c>
      <c r="N41" s="16"/>
      <c r="O41" s="16"/>
      <c r="P41" s="1" t="s">
        <v>33</v>
      </c>
      <c r="Q41" s="9">
        <f t="shared" si="1"/>
        <v>460.63350000000003</v>
      </c>
      <c r="R41" s="1"/>
      <c r="S41" s="6"/>
      <c r="T41" s="6"/>
      <c r="U41" s="1" t="s">
        <v>93</v>
      </c>
      <c r="V41" s="6"/>
      <c r="W41" s="10"/>
      <c r="X41" s="1"/>
      <c r="Y41" s="14" t="s">
        <v>205</v>
      </c>
    </row>
    <row r="42" spans="1:25" ht="25.5" x14ac:dyDescent="0.25">
      <c r="A42" s="1" t="s">
        <v>180</v>
      </c>
      <c r="B42" s="1" t="s">
        <v>181</v>
      </c>
      <c r="C42" s="1" t="s">
        <v>26</v>
      </c>
      <c r="D42" s="1" t="s">
        <v>182</v>
      </c>
      <c r="E42" s="1" t="s">
        <v>183</v>
      </c>
      <c r="F42" s="1">
        <v>2023</v>
      </c>
      <c r="G42" s="2" t="s">
        <v>204</v>
      </c>
      <c r="H42" s="16" t="s">
        <v>230</v>
      </c>
      <c r="I42" s="2" t="s">
        <v>184</v>
      </c>
      <c r="J42" s="1" t="s">
        <v>185</v>
      </c>
      <c r="K42" s="16"/>
      <c r="L42" s="16"/>
      <c r="M42" s="15">
        <v>135</v>
      </c>
      <c r="N42" s="16"/>
      <c r="O42" s="16"/>
      <c r="P42" s="1" t="s">
        <v>33</v>
      </c>
      <c r="Q42" s="9">
        <f t="shared" si="1"/>
        <v>460.63350000000003</v>
      </c>
      <c r="R42" s="1"/>
      <c r="S42" s="6"/>
      <c r="T42" s="6"/>
      <c r="U42" s="1" t="s">
        <v>93</v>
      </c>
      <c r="V42" s="6"/>
      <c r="W42" s="10"/>
      <c r="X42" s="1"/>
      <c r="Y42" s="14" t="s">
        <v>205</v>
      </c>
    </row>
    <row r="43" spans="1:25" ht="25.5" x14ac:dyDescent="0.25">
      <c r="A43" s="1" t="s">
        <v>180</v>
      </c>
      <c r="B43" s="1" t="s">
        <v>181</v>
      </c>
      <c r="C43" s="1" t="s">
        <v>26</v>
      </c>
      <c r="D43" s="1" t="s">
        <v>182</v>
      </c>
      <c r="E43" s="1" t="s">
        <v>183</v>
      </c>
      <c r="F43" s="1">
        <v>2023</v>
      </c>
      <c r="G43" s="2" t="s">
        <v>204</v>
      </c>
      <c r="H43" s="16" t="s">
        <v>231</v>
      </c>
      <c r="I43" s="2" t="s">
        <v>184</v>
      </c>
      <c r="J43" s="1" t="s">
        <v>185</v>
      </c>
      <c r="K43" s="16"/>
      <c r="L43" s="16"/>
      <c r="M43" s="15">
        <v>135</v>
      </c>
      <c r="N43" s="16"/>
      <c r="O43" s="16"/>
      <c r="P43" s="1" t="s">
        <v>33</v>
      </c>
      <c r="Q43" s="9">
        <f t="shared" si="1"/>
        <v>460.63350000000003</v>
      </c>
      <c r="R43" s="1"/>
      <c r="S43" s="6"/>
      <c r="T43" s="6"/>
      <c r="U43" s="1" t="s">
        <v>93</v>
      </c>
      <c r="V43" s="6"/>
      <c r="W43" s="10"/>
      <c r="X43" s="1"/>
      <c r="Y43" s="14" t="s">
        <v>205</v>
      </c>
    </row>
    <row r="44" spans="1:25" ht="25.5" x14ac:dyDescent="0.25">
      <c r="A44" s="1" t="s">
        <v>180</v>
      </c>
      <c r="B44" s="1" t="s">
        <v>181</v>
      </c>
      <c r="C44" s="1" t="s">
        <v>26</v>
      </c>
      <c r="D44" s="1" t="s">
        <v>182</v>
      </c>
      <c r="E44" s="1" t="s">
        <v>183</v>
      </c>
      <c r="F44" s="1">
        <v>2023</v>
      </c>
      <c r="G44" s="2" t="s">
        <v>204</v>
      </c>
      <c r="H44" s="16" t="s">
        <v>232</v>
      </c>
      <c r="I44" s="2" t="s">
        <v>184</v>
      </c>
      <c r="J44" s="1" t="s">
        <v>185</v>
      </c>
      <c r="K44" s="16"/>
      <c r="L44" s="16"/>
      <c r="M44" s="15">
        <v>135</v>
      </c>
      <c r="N44" s="16"/>
      <c r="O44" s="16"/>
      <c r="P44" s="1" t="s">
        <v>33</v>
      </c>
      <c r="Q44" s="9">
        <f t="shared" si="1"/>
        <v>460.63350000000003</v>
      </c>
      <c r="R44" s="1"/>
      <c r="S44" s="6"/>
      <c r="T44" s="6"/>
      <c r="U44" s="1" t="s">
        <v>93</v>
      </c>
      <c r="V44" s="6"/>
      <c r="W44" s="10"/>
      <c r="X44" s="1"/>
      <c r="Y44" s="14" t="s">
        <v>205</v>
      </c>
    </row>
    <row r="45" spans="1:25" ht="25.5" x14ac:dyDescent="0.25">
      <c r="A45" s="1" t="s">
        <v>180</v>
      </c>
      <c r="B45" s="1" t="s">
        <v>181</v>
      </c>
      <c r="C45" s="1" t="s">
        <v>26</v>
      </c>
      <c r="D45" s="1" t="s">
        <v>182</v>
      </c>
      <c r="E45" s="1" t="s">
        <v>183</v>
      </c>
      <c r="F45" s="1">
        <v>2023</v>
      </c>
      <c r="G45" s="2" t="s">
        <v>204</v>
      </c>
      <c r="H45" s="16" t="s">
        <v>233</v>
      </c>
      <c r="I45" s="2" t="s">
        <v>184</v>
      </c>
      <c r="J45" s="1" t="s">
        <v>185</v>
      </c>
      <c r="K45" s="16"/>
      <c r="L45" s="16"/>
      <c r="M45" s="15">
        <v>135</v>
      </c>
      <c r="N45" s="16"/>
      <c r="O45" s="16"/>
      <c r="P45" s="1" t="s">
        <v>33</v>
      </c>
      <c r="Q45" s="9">
        <f t="shared" si="1"/>
        <v>460.63350000000003</v>
      </c>
      <c r="R45" s="1"/>
      <c r="S45" s="6"/>
      <c r="T45" s="6"/>
      <c r="U45" s="1" t="s">
        <v>93</v>
      </c>
      <c r="V45" s="6"/>
      <c r="W45" s="10"/>
      <c r="X45" s="1"/>
      <c r="Y45" s="14" t="s">
        <v>205</v>
      </c>
    </row>
    <row r="46" spans="1:25" x14ac:dyDescent="0.25">
      <c r="A46" s="1" t="s">
        <v>234</v>
      </c>
      <c r="B46" s="1" t="s">
        <v>181</v>
      </c>
      <c r="C46" s="1" t="s">
        <v>26</v>
      </c>
      <c r="D46" s="1" t="s">
        <v>182</v>
      </c>
      <c r="E46" s="1" t="s">
        <v>183</v>
      </c>
      <c r="F46" s="1">
        <v>2023</v>
      </c>
      <c r="G46" s="16" t="s">
        <v>56</v>
      </c>
      <c r="H46" s="16" t="s">
        <v>57</v>
      </c>
      <c r="I46" s="17" t="s">
        <v>46</v>
      </c>
      <c r="J46" s="15" t="s">
        <v>185</v>
      </c>
      <c r="K46" s="16"/>
      <c r="L46" s="16"/>
      <c r="M46" s="15">
        <v>1566</v>
      </c>
      <c r="N46" s="16"/>
      <c r="O46" s="16"/>
      <c r="P46" s="15" t="s">
        <v>33</v>
      </c>
      <c r="Q46" s="9">
        <f t="shared" si="1"/>
        <v>5343.3486000000003</v>
      </c>
      <c r="R46" s="16"/>
      <c r="S46" s="18"/>
      <c r="T46" s="18"/>
      <c r="U46" s="1" t="s">
        <v>93</v>
      </c>
      <c r="V46" s="16"/>
      <c r="W46" s="19"/>
      <c r="X46" s="15"/>
      <c r="Y46" s="16" t="s">
        <v>235</v>
      </c>
    </row>
    <row r="47" spans="1:25" x14ac:dyDescent="0.25">
      <c r="A47" s="1" t="s">
        <v>234</v>
      </c>
      <c r="B47" s="1" t="s">
        <v>181</v>
      </c>
      <c r="C47" s="1" t="s">
        <v>26</v>
      </c>
      <c r="D47" s="1" t="s">
        <v>182</v>
      </c>
      <c r="E47" s="1" t="s">
        <v>183</v>
      </c>
      <c r="F47" s="1">
        <v>2023</v>
      </c>
      <c r="G47" s="16" t="s">
        <v>236</v>
      </c>
      <c r="H47" s="16" t="s">
        <v>237</v>
      </c>
      <c r="I47" s="17" t="s">
        <v>184</v>
      </c>
      <c r="J47" s="15" t="s">
        <v>185</v>
      </c>
      <c r="K47" s="16"/>
      <c r="L47" s="16"/>
      <c r="M47" s="15">
        <v>1106</v>
      </c>
      <c r="N47" s="16"/>
      <c r="O47" s="16"/>
      <c r="P47" s="15" t="s">
        <v>33</v>
      </c>
      <c r="Q47" s="9">
        <f t="shared" si="1"/>
        <v>3773.7826</v>
      </c>
      <c r="R47" s="16"/>
      <c r="S47" s="18"/>
      <c r="T47" s="18"/>
      <c r="U47" s="1" t="s">
        <v>93</v>
      </c>
      <c r="V47" s="16"/>
      <c r="W47" s="19"/>
      <c r="X47" s="15"/>
      <c r="Y47" s="16" t="s">
        <v>235</v>
      </c>
    </row>
    <row r="48" spans="1:25" x14ac:dyDescent="0.25">
      <c r="A48" s="1" t="s">
        <v>234</v>
      </c>
      <c r="B48" s="1" t="s">
        <v>181</v>
      </c>
      <c r="C48" s="1" t="s">
        <v>26</v>
      </c>
      <c r="D48" s="1" t="s">
        <v>182</v>
      </c>
      <c r="E48" s="1" t="s">
        <v>183</v>
      </c>
      <c r="F48" s="1">
        <v>2023</v>
      </c>
      <c r="G48" s="16" t="s">
        <v>43</v>
      </c>
      <c r="H48" s="16" t="s">
        <v>59</v>
      </c>
      <c r="I48" s="17" t="s">
        <v>184</v>
      </c>
      <c r="J48" s="15" t="s">
        <v>185</v>
      </c>
      <c r="K48" s="16"/>
      <c r="L48" s="16"/>
      <c r="M48" s="15">
        <v>2553</v>
      </c>
      <c r="N48" s="16"/>
      <c r="O48" s="16"/>
      <c r="P48" s="15" t="s">
        <v>33</v>
      </c>
      <c r="Q48" s="9">
        <f t="shared" si="1"/>
        <v>8711.0913</v>
      </c>
      <c r="R48" s="16"/>
      <c r="S48" s="18"/>
      <c r="T48" s="18"/>
      <c r="U48" s="1" t="s">
        <v>93</v>
      </c>
      <c r="V48" s="16"/>
      <c r="W48" s="19"/>
      <c r="X48" s="15"/>
      <c r="Y48" s="16" t="s">
        <v>235</v>
      </c>
    </row>
    <row r="49" spans="1:25" x14ac:dyDescent="0.25">
      <c r="A49" s="1" t="s">
        <v>234</v>
      </c>
      <c r="B49" s="1" t="s">
        <v>181</v>
      </c>
      <c r="C49" s="1" t="s">
        <v>26</v>
      </c>
      <c r="D49" s="1" t="s">
        <v>182</v>
      </c>
      <c r="E49" s="1" t="s">
        <v>183</v>
      </c>
      <c r="F49" s="1">
        <v>2023</v>
      </c>
      <c r="G49" s="16" t="s">
        <v>238</v>
      </c>
      <c r="H49" s="16" t="s">
        <v>143</v>
      </c>
      <c r="I49" s="17" t="s">
        <v>184</v>
      </c>
      <c r="J49" s="15" t="s">
        <v>185</v>
      </c>
      <c r="K49" s="16"/>
      <c r="L49" s="16"/>
      <c r="M49" s="15">
        <v>178</v>
      </c>
      <c r="N49" s="16"/>
      <c r="O49" s="16"/>
      <c r="P49" s="15" t="s">
        <v>33</v>
      </c>
      <c r="Q49" s="9">
        <f t="shared" si="1"/>
        <v>607.35379999999998</v>
      </c>
      <c r="R49" s="16"/>
      <c r="S49" s="18"/>
      <c r="T49" s="18"/>
      <c r="U49" s="1" t="s">
        <v>93</v>
      </c>
      <c r="V49" s="16"/>
      <c r="W49" s="19"/>
      <c r="X49" s="15"/>
      <c r="Y49" s="16" t="s">
        <v>235</v>
      </c>
    </row>
    <row r="50" spans="1:25" x14ac:dyDescent="0.25">
      <c r="A50" s="1" t="s">
        <v>234</v>
      </c>
      <c r="B50" s="1" t="s">
        <v>181</v>
      </c>
      <c r="C50" s="1" t="s">
        <v>26</v>
      </c>
      <c r="D50" s="1" t="s">
        <v>182</v>
      </c>
      <c r="E50" s="1" t="s">
        <v>183</v>
      </c>
      <c r="F50" s="1">
        <v>2023</v>
      </c>
      <c r="G50" s="16" t="s">
        <v>80</v>
      </c>
      <c r="H50" s="16" t="s">
        <v>66</v>
      </c>
      <c r="I50" s="17" t="s">
        <v>187</v>
      </c>
      <c r="J50" s="15" t="s">
        <v>185</v>
      </c>
      <c r="K50" s="16"/>
      <c r="L50" s="16"/>
      <c r="M50" s="15">
        <v>178</v>
      </c>
      <c r="N50" s="16"/>
      <c r="O50" s="16"/>
      <c r="P50" s="15" t="s">
        <v>33</v>
      </c>
      <c r="Q50" s="9">
        <f t="shared" si="1"/>
        <v>607.35379999999998</v>
      </c>
      <c r="R50" s="16"/>
      <c r="S50" s="18"/>
      <c r="T50" s="18"/>
      <c r="U50" s="1" t="s">
        <v>93</v>
      </c>
      <c r="V50" s="16"/>
      <c r="W50" s="19"/>
      <c r="X50" s="15"/>
      <c r="Y50" s="16" t="s">
        <v>235</v>
      </c>
    </row>
    <row r="51" spans="1:25" x14ac:dyDescent="0.25">
      <c r="A51" s="1" t="s">
        <v>234</v>
      </c>
      <c r="B51" s="1" t="s">
        <v>181</v>
      </c>
      <c r="C51" s="1" t="s">
        <v>26</v>
      </c>
      <c r="D51" s="1" t="s">
        <v>182</v>
      </c>
      <c r="E51" s="1" t="s">
        <v>183</v>
      </c>
      <c r="F51" s="1">
        <v>2023</v>
      </c>
      <c r="G51" s="75" t="s">
        <v>69</v>
      </c>
      <c r="H51" s="75" t="s">
        <v>53</v>
      </c>
      <c r="I51" s="17" t="s">
        <v>197</v>
      </c>
      <c r="J51" s="15" t="s">
        <v>185</v>
      </c>
      <c r="K51" s="16"/>
      <c r="L51" s="16"/>
      <c r="M51" s="15">
        <v>530</v>
      </c>
      <c r="N51" s="16"/>
      <c r="O51" s="16"/>
      <c r="P51" s="15" t="s">
        <v>33</v>
      </c>
      <c r="Q51" s="9">
        <f t="shared" si="1"/>
        <v>1808.413</v>
      </c>
      <c r="R51" s="16"/>
      <c r="S51" s="18"/>
      <c r="T51" s="18"/>
      <c r="U51" s="1" t="s">
        <v>93</v>
      </c>
      <c r="V51" s="16"/>
      <c r="W51" s="19"/>
      <c r="X51" s="15"/>
      <c r="Y51" s="16" t="s">
        <v>235</v>
      </c>
    </row>
  </sheetData>
  <autoFilter ref="A2:Y2" xr:uid="{73FC0C16-FBEA-4F1D-90CA-C3A4ED4B482F}"/>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9554F-F6F6-40AD-A462-FC8B56229121}">
  <sheetPr filterMode="1"/>
  <dimension ref="A1:Y336"/>
  <sheetViews>
    <sheetView workbookViewId="0">
      <selection activeCell="G154" sqref="G154"/>
    </sheetView>
  </sheetViews>
  <sheetFormatPr baseColWidth="10" defaultColWidth="9.140625" defaultRowHeight="15" x14ac:dyDescent="0.25"/>
  <cols>
    <col min="7" max="7" width="9.140625" bestFit="1" customWidth="1"/>
    <col min="25" max="25" width="23.28515625" bestFit="1" customWidth="1"/>
  </cols>
  <sheetData>
    <row r="1" spans="1:25" ht="64.5" x14ac:dyDescent="0.25">
      <c r="A1" s="206" t="s">
        <v>0</v>
      </c>
      <c r="B1" s="207" t="s">
        <v>1</v>
      </c>
      <c r="C1" s="207" t="s">
        <v>2</v>
      </c>
      <c r="D1" s="207" t="s">
        <v>3</v>
      </c>
      <c r="E1" s="207" t="s">
        <v>4</v>
      </c>
      <c r="F1" s="207" t="s">
        <v>5</v>
      </c>
      <c r="G1" s="207" t="s">
        <v>6</v>
      </c>
      <c r="H1" s="207" t="s">
        <v>7</v>
      </c>
      <c r="I1" s="208" t="s">
        <v>8</v>
      </c>
      <c r="J1" s="206" t="s">
        <v>239</v>
      </c>
      <c r="K1" s="207" t="s">
        <v>240</v>
      </c>
      <c r="L1" s="207" t="s">
        <v>11</v>
      </c>
      <c r="M1" s="207" t="s">
        <v>12</v>
      </c>
      <c r="N1" s="207" t="s">
        <v>13</v>
      </c>
      <c r="O1" s="209" t="s">
        <v>177</v>
      </c>
      <c r="P1" s="206" t="s">
        <v>15</v>
      </c>
      <c r="Q1" s="207" t="s">
        <v>16</v>
      </c>
      <c r="R1" s="207" t="s">
        <v>17</v>
      </c>
      <c r="S1" s="207" t="s">
        <v>18</v>
      </c>
      <c r="T1" s="207" t="s">
        <v>19</v>
      </c>
      <c r="U1" s="207" t="s">
        <v>15</v>
      </c>
      <c r="V1" s="207" t="s">
        <v>20</v>
      </c>
      <c r="W1" s="207" t="s">
        <v>21</v>
      </c>
      <c r="X1" s="208" t="s">
        <v>178</v>
      </c>
      <c r="Y1" s="206" t="s">
        <v>179</v>
      </c>
    </row>
    <row r="2" spans="1:25" hidden="1" x14ac:dyDescent="0.25">
      <c r="A2" s="21" t="s">
        <v>241</v>
      </c>
      <c r="B2" s="22" t="s">
        <v>242</v>
      </c>
      <c r="C2" s="22" t="s">
        <v>243</v>
      </c>
      <c r="D2" s="22" t="s">
        <v>244</v>
      </c>
      <c r="E2" s="22" t="s">
        <v>245</v>
      </c>
      <c r="F2" s="22">
        <v>2023</v>
      </c>
      <c r="G2" s="22" t="s">
        <v>80</v>
      </c>
      <c r="H2" s="22" t="s">
        <v>66</v>
      </c>
      <c r="I2" s="23" t="s">
        <v>31</v>
      </c>
      <c r="J2" s="22" t="s">
        <v>246</v>
      </c>
      <c r="K2" s="22">
        <v>0</v>
      </c>
      <c r="L2" s="22">
        <v>0</v>
      </c>
      <c r="M2" s="22">
        <v>400</v>
      </c>
      <c r="N2" s="22">
        <v>600</v>
      </c>
      <c r="O2" s="23" t="s">
        <v>31</v>
      </c>
      <c r="P2" s="22" t="s">
        <v>247</v>
      </c>
      <c r="Q2" s="22" t="s">
        <v>248</v>
      </c>
      <c r="R2" s="22" t="s">
        <v>31</v>
      </c>
      <c r="S2" s="22" t="s">
        <v>31</v>
      </c>
      <c r="T2" s="22" t="s">
        <v>31</v>
      </c>
      <c r="U2" s="22" t="s">
        <v>31</v>
      </c>
      <c r="V2" s="22" t="s">
        <v>31</v>
      </c>
      <c r="W2" s="22" t="s">
        <v>31</v>
      </c>
      <c r="X2" s="23" t="s">
        <v>31</v>
      </c>
      <c r="Y2" s="22" t="s">
        <v>249</v>
      </c>
    </row>
    <row r="3" spans="1:25" hidden="1" x14ac:dyDescent="0.25">
      <c r="A3" s="24" t="s">
        <v>241</v>
      </c>
      <c r="B3" s="23" t="s">
        <v>242</v>
      </c>
      <c r="C3" s="23" t="s">
        <v>243</v>
      </c>
      <c r="D3" s="23" t="s">
        <v>244</v>
      </c>
      <c r="E3" s="23" t="s">
        <v>245</v>
      </c>
      <c r="F3" s="23">
        <v>2023</v>
      </c>
      <c r="G3" s="23" t="s">
        <v>109</v>
      </c>
      <c r="H3" s="23" t="s">
        <v>109</v>
      </c>
      <c r="I3" s="23" t="s">
        <v>31</v>
      </c>
      <c r="J3" s="23" t="s">
        <v>246</v>
      </c>
      <c r="K3" s="23">
        <v>0</v>
      </c>
      <c r="L3" s="23">
        <v>0</v>
      </c>
      <c r="M3" s="23">
        <v>400</v>
      </c>
      <c r="N3" s="23">
        <v>600</v>
      </c>
      <c r="O3" s="23" t="s">
        <v>31</v>
      </c>
      <c r="P3" s="23" t="s">
        <v>247</v>
      </c>
      <c r="Q3" s="23" t="s">
        <v>248</v>
      </c>
      <c r="R3" s="23" t="s">
        <v>31</v>
      </c>
      <c r="S3" s="23" t="s">
        <v>31</v>
      </c>
      <c r="T3" s="23" t="s">
        <v>31</v>
      </c>
      <c r="U3" s="23" t="s">
        <v>31</v>
      </c>
      <c r="V3" s="23" t="s">
        <v>31</v>
      </c>
      <c r="W3" s="23" t="s">
        <v>31</v>
      </c>
      <c r="X3" s="23" t="s">
        <v>31</v>
      </c>
      <c r="Y3" s="23" t="s">
        <v>249</v>
      </c>
    </row>
    <row r="4" spans="1:25" hidden="1" x14ac:dyDescent="0.25">
      <c r="A4" s="24" t="s">
        <v>241</v>
      </c>
      <c r="B4" s="23" t="s">
        <v>242</v>
      </c>
      <c r="C4" s="23" t="s">
        <v>243</v>
      </c>
      <c r="D4" s="23" t="s">
        <v>244</v>
      </c>
      <c r="E4" s="23" t="s">
        <v>245</v>
      </c>
      <c r="F4" s="23">
        <v>2023</v>
      </c>
      <c r="G4" s="23" t="s">
        <v>143</v>
      </c>
      <c r="H4" s="23" t="s">
        <v>143</v>
      </c>
      <c r="I4" s="23" t="s">
        <v>31</v>
      </c>
      <c r="J4" s="23" t="s">
        <v>246</v>
      </c>
      <c r="K4" s="23">
        <v>0</v>
      </c>
      <c r="L4" s="23">
        <v>0</v>
      </c>
      <c r="M4" s="23">
        <v>400</v>
      </c>
      <c r="N4" s="23">
        <v>600</v>
      </c>
      <c r="O4" s="23" t="s">
        <v>31</v>
      </c>
      <c r="P4" s="23" t="s">
        <v>247</v>
      </c>
      <c r="Q4" s="23" t="s">
        <v>248</v>
      </c>
      <c r="R4" s="23" t="s">
        <v>31</v>
      </c>
      <c r="S4" s="23" t="s">
        <v>31</v>
      </c>
      <c r="T4" s="23" t="s">
        <v>31</v>
      </c>
      <c r="U4" s="23" t="s">
        <v>31</v>
      </c>
      <c r="V4" s="23" t="s">
        <v>31</v>
      </c>
      <c r="W4" s="23" t="s">
        <v>31</v>
      </c>
      <c r="X4" s="23" t="s">
        <v>31</v>
      </c>
      <c r="Y4" s="23" t="s">
        <v>250</v>
      </c>
    </row>
    <row r="5" spans="1:25" x14ac:dyDescent="0.25">
      <c r="A5" s="24" t="s">
        <v>241</v>
      </c>
      <c r="B5" s="23" t="s">
        <v>242</v>
      </c>
      <c r="C5" s="23" t="s">
        <v>243</v>
      </c>
      <c r="D5" s="23" t="s">
        <v>244</v>
      </c>
      <c r="E5" s="23" t="s">
        <v>245</v>
      </c>
      <c r="F5" s="23">
        <v>2023</v>
      </c>
      <c r="G5" s="23" t="s">
        <v>251</v>
      </c>
      <c r="H5" s="23" t="s">
        <v>252</v>
      </c>
      <c r="I5" s="23" t="s">
        <v>31</v>
      </c>
      <c r="J5" s="23" t="s">
        <v>246</v>
      </c>
      <c r="K5" s="23">
        <v>0</v>
      </c>
      <c r="L5" s="23">
        <v>0</v>
      </c>
      <c r="M5" s="23">
        <v>400</v>
      </c>
      <c r="N5" s="23">
        <v>600</v>
      </c>
      <c r="O5" s="23" t="s">
        <v>31</v>
      </c>
      <c r="P5" s="23" t="s">
        <v>247</v>
      </c>
      <c r="Q5" s="23" t="s">
        <v>248</v>
      </c>
      <c r="R5" s="23" t="s">
        <v>31</v>
      </c>
      <c r="S5" s="23" t="s">
        <v>31</v>
      </c>
      <c r="T5" s="23" t="s">
        <v>31</v>
      </c>
      <c r="U5" s="23" t="s">
        <v>31</v>
      </c>
      <c r="V5" s="23" t="s">
        <v>31</v>
      </c>
      <c r="W5" s="23" t="s">
        <v>31</v>
      </c>
      <c r="X5" s="23" t="s">
        <v>31</v>
      </c>
      <c r="Y5" s="23" t="s">
        <v>250</v>
      </c>
    </row>
    <row r="6" spans="1:25" hidden="1" x14ac:dyDescent="0.25">
      <c r="A6" s="24" t="s">
        <v>241</v>
      </c>
      <c r="B6" s="23" t="s">
        <v>242</v>
      </c>
      <c r="C6" s="23" t="s">
        <v>243</v>
      </c>
      <c r="D6" s="23" t="s">
        <v>244</v>
      </c>
      <c r="E6" s="23" t="s">
        <v>245</v>
      </c>
      <c r="F6" s="23">
        <v>2023</v>
      </c>
      <c r="G6" s="23" t="s">
        <v>113</v>
      </c>
      <c r="H6" s="23" t="s">
        <v>113</v>
      </c>
      <c r="I6" s="23" t="s">
        <v>31</v>
      </c>
      <c r="J6" s="23" t="s">
        <v>246</v>
      </c>
      <c r="K6" s="23">
        <v>0</v>
      </c>
      <c r="L6" s="23">
        <v>0</v>
      </c>
      <c r="M6" s="23">
        <v>400</v>
      </c>
      <c r="N6" s="23">
        <v>600</v>
      </c>
      <c r="O6" s="23" t="s">
        <v>31</v>
      </c>
      <c r="P6" s="23" t="s">
        <v>247</v>
      </c>
      <c r="Q6" s="23" t="s">
        <v>248</v>
      </c>
      <c r="R6" s="23" t="s">
        <v>31</v>
      </c>
      <c r="S6" s="23" t="s">
        <v>31</v>
      </c>
      <c r="T6" s="23" t="s">
        <v>31</v>
      </c>
      <c r="U6" s="23" t="s">
        <v>31</v>
      </c>
      <c r="V6" s="23" t="s">
        <v>31</v>
      </c>
      <c r="W6" s="23" t="s">
        <v>31</v>
      </c>
      <c r="X6" s="23" t="s">
        <v>31</v>
      </c>
      <c r="Y6" s="23" t="s">
        <v>253</v>
      </c>
    </row>
    <row r="7" spans="1:25" hidden="1" x14ac:dyDescent="0.25">
      <c r="A7" s="24" t="s">
        <v>241</v>
      </c>
      <c r="B7" s="23" t="s">
        <v>242</v>
      </c>
      <c r="C7" s="23" t="s">
        <v>243</v>
      </c>
      <c r="D7" s="23" t="s">
        <v>244</v>
      </c>
      <c r="E7" s="23" t="s">
        <v>245</v>
      </c>
      <c r="F7" s="23">
        <v>2023</v>
      </c>
      <c r="G7" s="23" t="s">
        <v>89</v>
      </c>
      <c r="H7" s="23" t="s">
        <v>57</v>
      </c>
      <c r="I7" s="23" t="s">
        <v>31</v>
      </c>
      <c r="J7" s="23" t="s">
        <v>246</v>
      </c>
      <c r="K7" s="23">
        <v>0</v>
      </c>
      <c r="L7" s="23">
        <v>0</v>
      </c>
      <c r="M7" s="23">
        <v>400</v>
      </c>
      <c r="N7" s="23">
        <v>600</v>
      </c>
      <c r="O7" s="23" t="s">
        <v>31</v>
      </c>
      <c r="P7" s="23" t="s">
        <v>247</v>
      </c>
      <c r="Q7" s="23" t="s">
        <v>248</v>
      </c>
      <c r="R7" s="23" t="s">
        <v>31</v>
      </c>
      <c r="S7" s="23" t="s">
        <v>31</v>
      </c>
      <c r="T7" s="23" t="s">
        <v>31</v>
      </c>
      <c r="U7" s="23" t="s">
        <v>31</v>
      </c>
      <c r="V7" s="23" t="s">
        <v>31</v>
      </c>
      <c r="W7" s="23" t="s">
        <v>31</v>
      </c>
      <c r="X7" s="23" t="s">
        <v>31</v>
      </c>
      <c r="Y7" s="23" t="s">
        <v>253</v>
      </c>
    </row>
    <row r="8" spans="1:25" hidden="1" x14ac:dyDescent="0.25">
      <c r="A8" s="24" t="s">
        <v>241</v>
      </c>
      <c r="B8" s="23" t="s">
        <v>242</v>
      </c>
      <c r="C8" s="23" t="s">
        <v>243</v>
      </c>
      <c r="D8" s="23" t="s">
        <v>244</v>
      </c>
      <c r="E8" s="23" t="s">
        <v>245</v>
      </c>
      <c r="F8" s="23">
        <v>2023</v>
      </c>
      <c r="G8" s="23" t="s">
        <v>254</v>
      </c>
      <c r="H8" s="23" t="s">
        <v>66</v>
      </c>
      <c r="I8" s="23" t="s">
        <v>31</v>
      </c>
      <c r="J8" s="23" t="s">
        <v>246</v>
      </c>
      <c r="K8" s="23">
        <v>0</v>
      </c>
      <c r="L8" s="23">
        <v>0</v>
      </c>
      <c r="M8" s="23">
        <v>400</v>
      </c>
      <c r="N8" s="23">
        <v>600</v>
      </c>
      <c r="O8" s="23" t="s">
        <v>31</v>
      </c>
      <c r="P8" s="23" t="s">
        <v>247</v>
      </c>
      <c r="Q8" s="23" t="s">
        <v>248</v>
      </c>
      <c r="R8" s="23" t="s">
        <v>31</v>
      </c>
      <c r="S8" s="23" t="s">
        <v>31</v>
      </c>
      <c r="T8" s="23" t="s">
        <v>31</v>
      </c>
      <c r="U8" s="23" t="s">
        <v>31</v>
      </c>
      <c r="V8" s="23" t="s">
        <v>31</v>
      </c>
      <c r="W8" s="23" t="s">
        <v>31</v>
      </c>
      <c r="X8" s="23" t="s">
        <v>31</v>
      </c>
      <c r="Y8" s="23" t="s">
        <v>253</v>
      </c>
    </row>
    <row r="9" spans="1:25" hidden="1" x14ac:dyDescent="0.25">
      <c r="A9" s="24" t="s">
        <v>241</v>
      </c>
      <c r="B9" s="23" t="s">
        <v>242</v>
      </c>
      <c r="C9" s="23" t="s">
        <v>243</v>
      </c>
      <c r="D9" s="23" t="s">
        <v>244</v>
      </c>
      <c r="E9" s="23" t="s">
        <v>245</v>
      </c>
      <c r="F9" s="23">
        <v>2023</v>
      </c>
      <c r="G9" s="23" t="s">
        <v>43</v>
      </c>
      <c r="H9" s="23" t="s">
        <v>66</v>
      </c>
      <c r="I9" s="23" t="s">
        <v>31</v>
      </c>
      <c r="J9" s="23" t="s">
        <v>246</v>
      </c>
      <c r="K9" s="23">
        <v>0</v>
      </c>
      <c r="L9" s="23">
        <v>0</v>
      </c>
      <c r="M9" s="23">
        <v>400</v>
      </c>
      <c r="N9" s="23">
        <v>600</v>
      </c>
      <c r="O9" s="23" t="s">
        <v>31</v>
      </c>
      <c r="P9" s="23" t="s">
        <v>247</v>
      </c>
      <c r="Q9" s="23" t="s">
        <v>248</v>
      </c>
      <c r="R9" s="23" t="s">
        <v>31</v>
      </c>
      <c r="S9" s="23" t="s">
        <v>31</v>
      </c>
      <c r="T9" s="23" t="s">
        <v>31</v>
      </c>
      <c r="U9" s="23" t="s">
        <v>31</v>
      </c>
      <c r="V9" s="23" t="s">
        <v>31</v>
      </c>
      <c r="W9" s="23" t="s">
        <v>31</v>
      </c>
      <c r="X9" s="23" t="s">
        <v>31</v>
      </c>
      <c r="Y9" s="23" t="s">
        <v>253</v>
      </c>
    </row>
    <row r="10" spans="1:25" hidden="1" x14ac:dyDescent="0.25">
      <c r="A10" s="24" t="s">
        <v>241</v>
      </c>
      <c r="B10" s="23" t="s">
        <v>242</v>
      </c>
      <c r="C10" s="23" t="s">
        <v>243</v>
      </c>
      <c r="D10" s="23" t="s">
        <v>244</v>
      </c>
      <c r="E10" s="23" t="s">
        <v>245</v>
      </c>
      <c r="F10" s="23">
        <v>2023</v>
      </c>
      <c r="G10" s="23" t="s">
        <v>80</v>
      </c>
      <c r="H10" s="23" t="s">
        <v>66</v>
      </c>
      <c r="I10" s="23" t="s">
        <v>31</v>
      </c>
      <c r="J10" s="23" t="s">
        <v>246</v>
      </c>
      <c r="K10" s="23">
        <v>0</v>
      </c>
      <c r="L10" s="23">
        <v>0</v>
      </c>
      <c r="M10" s="23">
        <v>400</v>
      </c>
      <c r="N10" s="23">
        <v>600</v>
      </c>
      <c r="O10" s="23" t="s">
        <v>31</v>
      </c>
      <c r="P10" s="23" t="s">
        <v>247</v>
      </c>
      <c r="Q10" s="23" t="s">
        <v>248</v>
      </c>
      <c r="R10" s="23" t="s">
        <v>31</v>
      </c>
      <c r="S10" s="23" t="s">
        <v>31</v>
      </c>
      <c r="T10" s="23" t="s">
        <v>31</v>
      </c>
      <c r="U10" s="23" t="s">
        <v>31</v>
      </c>
      <c r="V10" s="23" t="s">
        <v>31</v>
      </c>
      <c r="W10" s="23" t="s">
        <v>31</v>
      </c>
      <c r="X10" s="23" t="s">
        <v>31</v>
      </c>
      <c r="Y10" s="23" t="s">
        <v>253</v>
      </c>
    </row>
    <row r="11" spans="1:25" hidden="1" x14ac:dyDescent="0.25">
      <c r="A11" s="24" t="s">
        <v>241</v>
      </c>
      <c r="B11" s="23" t="s">
        <v>242</v>
      </c>
      <c r="C11" s="23" t="s">
        <v>243</v>
      </c>
      <c r="D11" s="23" t="s">
        <v>244</v>
      </c>
      <c r="E11" s="23" t="s">
        <v>245</v>
      </c>
      <c r="F11" s="23">
        <v>2023</v>
      </c>
      <c r="G11" s="23" t="s">
        <v>132</v>
      </c>
      <c r="H11" s="23" t="s">
        <v>66</v>
      </c>
      <c r="I11" s="23" t="s">
        <v>31</v>
      </c>
      <c r="J11" s="23" t="s">
        <v>246</v>
      </c>
      <c r="K11" s="23">
        <v>0</v>
      </c>
      <c r="L11" s="23">
        <v>0</v>
      </c>
      <c r="M11" s="23">
        <v>400</v>
      </c>
      <c r="N11" s="23">
        <v>600</v>
      </c>
      <c r="O11" s="23" t="s">
        <v>31</v>
      </c>
      <c r="P11" s="23" t="s">
        <v>247</v>
      </c>
      <c r="Q11" s="23" t="s">
        <v>248</v>
      </c>
      <c r="R11" s="23" t="s">
        <v>31</v>
      </c>
      <c r="S11" s="23" t="s">
        <v>31</v>
      </c>
      <c r="T11" s="23" t="s">
        <v>31</v>
      </c>
      <c r="U11" s="23" t="s">
        <v>31</v>
      </c>
      <c r="V11" s="23" t="s">
        <v>31</v>
      </c>
      <c r="W11" s="23" t="s">
        <v>31</v>
      </c>
      <c r="X11" s="23" t="s">
        <v>31</v>
      </c>
      <c r="Y11" s="23" t="s">
        <v>253</v>
      </c>
    </row>
    <row r="12" spans="1:25" hidden="1" x14ac:dyDescent="0.25">
      <c r="A12" s="24" t="s">
        <v>241</v>
      </c>
      <c r="B12" s="23" t="s">
        <v>242</v>
      </c>
      <c r="C12" s="23" t="s">
        <v>243</v>
      </c>
      <c r="D12" s="23" t="s">
        <v>244</v>
      </c>
      <c r="E12" s="23" t="s">
        <v>245</v>
      </c>
      <c r="F12" s="23">
        <v>2023</v>
      </c>
      <c r="G12" s="23" t="s">
        <v>72</v>
      </c>
      <c r="H12" s="23" t="s">
        <v>66</v>
      </c>
      <c r="I12" s="23" t="s">
        <v>31</v>
      </c>
      <c r="J12" s="23" t="s">
        <v>246</v>
      </c>
      <c r="K12" s="23">
        <v>0</v>
      </c>
      <c r="L12" s="23">
        <v>0</v>
      </c>
      <c r="M12" s="23">
        <v>400</v>
      </c>
      <c r="N12" s="23">
        <v>600</v>
      </c>
      <c r="O12" s="23" t="s">
        <v>31</v>
      </c>
      <c r="P12" s="23" t="s">
        <v>247</v>
      </c>
      <c r="Q12" s="23" t="s">
        <v>248</v>
      </c>
      <c r="R12" s="23" t="s">
        <v>31</v>
      </c>
      <c r="S12" s="23" t="s">
        <v>31</v>
      </c>
      <c r="T12" s="23" t="s">
        <v>31</v>
      </c>
      <c r="U12" s="23" t="s">
        <v>31</v>
      </c>
      <c r="V12" s="23" t="s">
        <v>31</v>
      </c>
      <c r="W12" s="23" t="s">
        <v>31</v>
      </c>
      <c r="X12" s="23" t="s">
        <v>31</v>
      </c>
      <c r="Y12" s="23" t="s">
        <v>253</v>
      </c>
    </row>
    <row r="13" spans="1:25" hidden="1" x14ac:dyDescent="0.25">
      <c r="A13" s="24" t="s">
        <v>241</v>
      </c>
      <c r="B13" s="23" t="s">
        <v>242</v>
      </c>
      <c r="C13" s="23" t="s">
        <v>243</v>
      </c>
      <c r="D13" s="23" t="s">
        <v>244</v>
      </c>
      <c r="E13" s="23" t="s">
        <v>245</v>
      </c>
      <c r="F13" s="23">
        <v>2023</v>
      </c>
      <c r="G13" s="23" t="s">
        <v>80</v>
      </c>
      <c r="H13" s="23" t="s">
        <v>66</v>
      </c>
      <c r="I13" s="23" t="s">
        <v>31</v>
      </c>
      <c r="J13" s="23" t="s">
        <v>246</v>
      </c>
      <c r="K13" s="23">
        <v>0</v>
      </c>
      <c r="L13" s="23">
        <v>0</v>
      </c>
      <c r="M13" s="23">
        <v>400</v>
      </c>
      <c r="N13" s="23">
        <v>600</v>
      </c>
      <c r="O13" s="23" t="s">
        <v>31</v>
      </c>
      <c r="P13" s="23" t="s">
        <v>247</v>
      </c>
      <c r="Q13" s="23" t="s">
        <v>248</v>
      </c>
      <c r="R13" s="23" t="s">
        <v>31</v>
      </c>
      <c r="S13" s="23" t="s">
        <v>31</v>
      </c>
      <c r="T13" s="23" t="s">
        <v>31</v>
      </c>
      <c r="U13" s="23" t="s">
        <v>31</v>
      </c>
      <c r="V13" s="23" t="s">
        <v>31</v>
      </c>
      <c r="W13" s="23" t="s">
        <v>31</v>
      </c>
      <c r="X13" s="23" t="s">
        <v>31</v>
      </c>
      <c r="Y13" s="23" t="s">
        <v>253</v>
      </c>
    </row>
    <row r="14" spans="1:25" hidden="1" x14ac:dyDescent="0.25">
      <c r="A14" s="24" t="s">
        <v>241</v>
      </c>
      <c r="B14" s="23" t="s">
        <v>242</v>
      </c>
      <c r="C14" s="23" t="s">
        <v>243</v>
      </c>
      <c r="D14" s="23" t="s">
        <v>244</v>
      </c>
      <c r="E14" s="23" t="s">
        <v>245</v>
      </c>
      <c r="F14" s="23">
        <v>2023</v>
      </c>
      <c r="G14" s="65" t="s">
        <v>255</v>
      </c>
      <c r="H14" s="65" t="s">
        <v>53</v>
      </c>
      <c r="I14" s="23" t="s">
        <v>31</v>
      </c>
      <c r="J14" s="23" t="s">
        <v>246</v>
      </c>
      <c r="K14" s="23">
        <v>0</v>
      </c>
      <c r="L14" s="23">
        <v>0</v>
      </c>
      <c r="M14" s="23">
        <v>400</v>
      </c>
      <c r="N14" s="23">
        <v>600</v>
      </c>
      <c r="O14" s="23" t="s">
        <v>31</v>
      </c>
      <c r="P14" s="23" t="s">
        <v>247</v>
      </c>
      <c r="Q14" s="23" t="s">
        <v>248</v>
      </c>
      <c r="R14" s="23" t="s">
        <v>31</v>
      </c>
      <c r="S14" s="23" t="s">
        <v>31</v>
      </c>
      <c r="T14" s="23" t="s">
        <v>31</v>
      </c>
      <c r="U14" s="23" t="s">
        <v>31</v>
      </c>
      <c r="V14" s="23" t="s">
        <v>31</v>
      </c>
      <c r="W14" s="23" t="s">
        <v>31</v>
      </c>
      <c r="X14" s="23" t="s">
        <v>31</v>
      </c>
      <c r="Y14" s="23" t="s">
        <v>253</v>
      </c>
    </row>
    <row r="15" spans="1:25" hidden="1" x14ac:dyDescent="0.25">
      <c r="A15" s="24" t="s">
        <v>241</v>
      </c>
      <c r="B15" s="23" t="s">
        <v>242</v>
      </c>
      <c r="C15" s="23" t="s">
        <v>243</v>
      </c>
      <c r="D15" s="23" t="s">
        <v>244</v>
      </c>
      <c r="E15" s="23" t="s">
        <v>245</v>
      </c>
      <c r="F15" s="23">
        <v>2023</v>
      </c>
      <c r="G15" s="23" t="s">
        <v>256</v>
      </c>
      <c r="H15" s="23" t="s">
        <v>59</v>
      </c>
      <c r="I15" s="23" t="s">
        <v>31</v>
      </c>
      <c r="J15" s="23" t="s">
        <v>246</v>
      </c>
      <c r="K15" s="23">
        <v>0</v>
      </c>
      <c r="L15" s="23">
        <v>0</v>
      </c>
      <c r="M15" s="23">
        <v>400</v>
      </c>
      <c r="N15" s="23">
        <v>600</v>
      </c>
      <c r="O15" s="23" t="s">
        <v>31</v>
      </c>
      <c r="P15" s="23" t="s">
        <v>247</v>
      </c>
      <c r="Q15" s="23" t="s">
        <v>248</v>
      </c>
      <c r="R15" s="23" t="s">
        <v>31</v>
      </c>
      <c r="S15" s="23" t="s">
        <v>31</v>
      </c>
      <c r="T15" s="23" t="s">
        <v>31</v>
      </c>
      <c r="U15" s="23" t="s">
        <v>31</v>
      </c>
      <c r="V15" s="23" t="s">
        <v>31</v>
      </c>
      <c r="W15" s="23" t="s">
        <v>31</v>
      </c>
      <c r="X15" s="23" t="s">
        <v>31</v>
      </c>
      <c r="Y15" s="23" t="s">
        <v>253</v>
      </c>
    </row>
    <row r="16" spans="1:25" hidden="1" x14ac:dyDescent="0.25">
      <c r="A16" s="24" t="s">
        <v>241</v>
      </c>
      <c r="B16" s="23" t="s">
        <v>242</v>
      </c>
      <c r="C16" s="23" t="s">
        <v>243</v>
      </c>
      <c r="D16" s="23" t="s">
        <v>244</v>
      </c>
      <c r="E16" s="23" t="s">
        <v>245</v>
      </c>
      <c r="F16" s="23">
        <v>2023</v>
      </c>
      <c r="G16" s="23" t="s">
        <v>257</v>
      </c>
      <c r="H16" s="23" t="s">
        <v>49</v>
      </c>
      <c r="I16" s="23" t="s">
        <v>31</v>
      </c>
      <c r="J16" s="23" t="s">
        <v>246</v>
      </c>
      <c r="K16" s="23">
        <v>0</v>
      </c>
      <c r="L16" s="23">
        <v>0</v>
      </c>
      <c r="M16" s="23">
        <v>400</v>
      </c>
      <c r="N16" s="23">
        <v>600</v>
      </c>
      <c r="O16" s="23" t="s">
        <v>31</v>
      </c>
      <c r="P16" s="23" t="s">
        <v>247</v>
      </c>
      <c r="Q16" s="23" t="s">
        <v>248</v>
      </c>
      <c r="R16" s="23" t="s">
        <v>31</v>
      </c>
      <c r="S16" s="23" t="s">
        <v>31</v>
      </c>
      <c r="T16" s="23" t="s">
        <v>31</v>
      </c>
      <c r="U16" s="23" t="s">
        <v>31</v>
      </c>
      <c r="V16" s="23" t="s">
        <v>31</v>
      </c>
      <c r="W16" s="23" t="s">
        <v>31</v>
      </c>
      <c r="X16" s="23" t="s">
        <v>31</v>
      </c>
      <c r="Y16" s="23" t="s">
        <v>253</v>
      </c>
    </row>
    <row r="17" spans="1:25" hidden="1" x14ac:dyDescent="0.25">
      <c r="A17" s="24" t="s">
        <v>241</v>
      </c>
      <c r="B17" s="23" t="s">
        <v>242</v>
      </c>
      <c r="C17" s="23" t="s">
        <v>243</v>
      </c>
      <c r="D17" s="23" t="s">
        <v>244</v>
      </c>
      <c r="E17" s="23" t="s">
        <v>245</v>
      </c>
      <c r="F17" s="23">
        <v>2023</v>
      </c>
      <c r="G17" s="23" t="s">
        <v>37</v>
      </c>
      <c r="H17" s="23" t="s">
        <v>66</v>
      </c>
      <c r="I17" s="23" t="s">
        <v>31</v>
      </c>
      <c r="J17" s="23" t="s">
        <v>258</v>
      </c>
      <c r="K17" s="23">
        <v>1</v>
      </c>
      <c r="L17" s="23">
        <v>0</v>
      </c>
      <c r="M17" s="23">
        <v>400</v>
      </c>
      <c r="N17" s="23">
        <v>600</v>
      </c>
      <c r="O17" s="23" t="s">
        <v>31</v>
      </c>
      <c r="P17" s="23" t="s">
        <v>247</v>
      </c>
      <c r="Q17" s="23" t="s">
        <v>259</v>
      </c>
      <c r="R17" s="23">
        <v>2</v>
      </c>
      <c r="S17" s="23" t="s">
        <v>31</v>
      </c>
      <c r="T17" s="23" t="s">
        <v>31</v>
      </c>
      <c r="U17" s="23" t="s">
        <v>31</v>
      </c>
      <c r="V17" s="23" t="s">
        <v>31</v>
      </c>
      <c r="W17" s="23" t="s">
        <v>31</v>
      </c>
      <c r="X17" s="23" t="s">
        <v>31</v>
      </c>
      <c r="Y17" s="23" t="s">
        <v>260</v>
      </c>
    </row>
    <row r="18" spans="1:25" hidden="1" x14ac:dyDescent="0.25">
      <c r="A18" s="24" t="s">
        <v>241</v>
      </c>
      <c r="B18" s="23" t="s">
        <v>242</v>
      </c>
      <c r="C18" s="23" t="s">
        <v>243</v>
      </c>
      <c r="D18" s="23" t="s">
        <v>244</v>
      </c>
      <c r="E18" s="23" t="s">
        <v>245</v>
      </c>
      <c r="F18" s="23">
        <v>2023</v>
      </c>
      <c r="G18" s="23" t="s">
        <v>42</v>
      </c>
      <c r="H18" s="23" t="s">
        <v>66</v>
      </c>
      <c r="I18" s="23" t="s">
        <v>31</v>
      </c>
      <c r="J18" s="23" t="s">
        <v>258</v>
      </c>
      <c r="K18" s="23">
        <v>1</v>
      </c>
      <c r="L18" s="23">
        <v>0</v>
      </c>
      <c r="M18" s="23">
        <v>400</v>
      </c>
      <c r="N18" s="23">
        <v>600</v>
      </c>
      <c r="O18" s="23" t="s">
        <v>31</v>
      </c>
      <c r="P18" s="23" t="s">
        <v>247</v>
      </c>
      <c r="Q18" s="23" t="s">
        <v>259</v>
      </c>
      <c r="R18" s="23">
        <v>2</v>
      </c>
      <c r="S18" s="23" t="s">
        <v>31</v>
      </c>
      <c r="T18" s="23" t="s">
        <v>31</v>
      </c>
      <c r="U18" s="23" t="s">
        <v>31</v>
      </c>
      <c r="V18" s="23" t="s">
        <v>31</v>
      </c>
      <c r="W18" s="23" t="s">
        <v>31</v>
      </c>
      <c r="X18" s="23" t="s">
        <v>31</v>
      </c>
      <c r="Y18" s="23" t="s">
        <v>260</v>
      </c>
    </row>
    <row r="19" spans="1:25" hidden="1" x14ac:dyDescent="0.25">
      <c r="A19" s="24" t="s">
        <v>241</v>
      </c>
      <c r="B19" s="23" t="s">
        <v>242</v>
      </c>
      <c r="C19" s="23" t="s">
        <v>243</v>
      </c>
      <c r="D19" s="23" t="s">
        <v>244</v>
      </c>
      <c r="E19" s="23" t="s">
        <v>245</v>
      </c>
      <c r="F19" s="23">
        <v>2023</v>
      </c>
      <c r="G19" s="23" t="s">
        <v>112</v>
      </c>
      <c r="H19" s="23" t="s">
        <v>66</v>
      </c>
      <c r="I19" s="23" t="s">
        <v>31</v>
      </c>
      <c r="J19" s="23" t="s">
        <v>258</v>
      </c>
      <c r="K19" s="23">
        <v>1</v>
      </c>
      <c r="L19" s="23">
        <v>0</v>
      </c>
      <c r="M19" s="23">
        <v>400</v>
      </c>
      <c r="N19" s="23">
        <v>600</v>
      </c>
      <c r="O19" s="23" t="s">
        <v>31</v>
      </c>
      <c r="P19" s="23" t="s">
        <v>247</v>
      </c>
      <c r="Q19" s="23" t="s">
        <v>259</v>
      </c>
      <c r="R19" s="23">
        <v>2</v>
      </c>
      <c r="S19" s="23" t="s">
        <v>31</v>
      </c>
      <c r="T19" s="23" t="s">
        <v>31</v>
      </c>
      <c r="U19" s="23" t="s">
        <v>31</v>
      </c>
      <c r="V19" s="23" t="s">
        <v>31</v>
      </c>
      <c r="W19" s="23" t="s">
        <v>31</v>
      </c>
      <c r="X19" s="23" t="s">
        <v>31</v>
      </c>
      <c r="Y19" s="23" t="s">
        <v>260</v>
      </c>
    </row>
    <row r="20" spans="1:25" hidden="1" x14ac:dyDescent="0.25">
      <c r="A20" s="24" t="s">
        <v>241</v>
      </c>
      <c r="B20" s="23" t="s">
        <v>242</v>
      </c>
      <c r="C20" s="23" t="s">
        <v>243</v>
      </c>
      <c r="D20" s="23" t="s">
        <v>244</v>
      </c>
      <c r="E20" s="23" t="s">
        <v>245</v>
      </c>
      <c r="F20" s="23">
        <v>2023</v>
      </c>
      <c r="G20" s="23" t="s">
        <v>72</v>
      </c>
      <c r="H20" s="23" t="s">
        <v>66</v>
      </c>
      <c r="I20" s="23" t="s">
        <v>31</v>
      </c>
      <c r="J20" s="23" t="s">
        <v>258</v>
      </c>
      <c r="K20" s="23">
        <v>1</v>
      </c>
      <c r="L20" s="23">
        <v>0</v>
      </c>
      <c r="M20" s="23">
        <v>400</v>
      </c>
      <c r="N20" s="23">
        <v>600</v>
      </c>
      <c r="O20" s="23" t="s">
        <v>31</v>
      </c>
      <c r="P20" s="23" t="s">
        <v>247</v>
      </c>
      <c r="Q20" s="23" t="s">
        <v>259</v>
      </c>
      <c r="R20" s="23">
        <v>2</v>
      </c>
      <c r="S20" s="23" t="s">
        <v>31</v>
      </c>
      <c r="T20" s="23" t="s">
        <v>31</v>
      </c>
      <c r="U20" s="23" t="s">
        <v>31</v>
      </c>
      <c r="V20" s="23" t="s">
        <v>31</v>
      </c>
      <c r="W20" s="23" t="s">
        <v>31</v>
      </c>
      <c r="X20" s="23" t="s">
        <v>31</v>
      </c>
      <c r="Y20" s="23" t="s">
        <v>260</v>
      </c>
    </row>
    <row r="21" spans="1:25" hidden="1" x14ac:dyDescent="0.25">
      <c r="A21" s="24" t="s">
        <v>241</v>
      </c>
      <c r="B21" s="23" t="s">
        <v>242</v>
      </c>
      <c r="C21" s="23" t="s">
        <v>243</v>
      </c>
      <c r="D21" s="23" t="s">
        <v>244</v>
      </c>
      <c r="E21" s="23" t="s">
        <v>245</v>
      </c>
      <c r="F21" s="23">
        <v>2023</v>
      </c>
      <c r="G21" s="23" t="s">
        <v>261</v>
      </c>
      <c r="H21" s="23" t="s">
        <v>66</v>
      </c>
      <c r="I21" s="23" t="s">
        <v>31</v>
      </c>
      <c r="J21" s="23" t="s">
        <v>258</v>
      </c>
      <c r="K21" s="23">
        <v>1</v>
      </c>
      <c r="L21" s="23">
        <v>0</v>
      </c>
      <c r="M21" s="23">
        <v>400</v>
      </c>
      <c r="N21" s="23">
        <v>600</v>
      </c>
      <c r="O21" s="23" t="s">
        <v>31</v>
      </c>
      <c r="P21" s="23" t="s">
        <v>247</v>
      </c>
      <c r="Q21" s="23" t="s">
        <v>259</v>
      </c>
      <c r="R21" s="23">
        <v>2</v>
      </c>
      <c r="S21" s="23" t="s">
        <v>31</v>
      </c>
      <c r="T21" s="23" t="s">
        <v>31</v>
      </c>
      <c r="U21" s="23" t="s">
        <v>31</v>
      </c>
      <c r="V21" s="23" t="s">
        <v>31</v>
      </c>
      <c r="W21" s="23" t="s">
        <v>31</v>
      </c>
      <c r="X21" s="23" t="s">
        <v>31</v>
      </c>
      <c r="Y21" s="23" t="s">
        <v>260</v>
      </c>
    </row>
    <row r="22" spans="1:25" hidden="1" x14ac:dyDescent="0.25">
      <c r="A22" s="24" t="s">
        <v>241</v>
      </c>
      <c r="B22" s="23" t="s">
        <v>242</v>
      </c>
      <c r="C22" s="23" t="s">
        <v>243</v>
      </c>
      <c r="D22" s="23" t="s">
        <v>244</v>
      </c>
      <c r="E22" s="23" t="s">
        <v>245</v>
      </c>
      <c r="F22" s="23">
        <v>2023</v>
      </c>
      <c r="G22" s="23" t="s">
        <v>124</v>
      </c>
      <c r="H22" s="23" t="s">
        <v>66</v>
      </c>
      <c r="I22" s="23" t="s">
        <v>31</v>
      </c>
      <c r="J22" s="23" t="s">
        <v>258</v>
      </c>
      <c r="K22" s="23">
        <v>1</v>
      </c>
      <c r="L22" s="23">
        <v>0</v>
      </c>
      <c r="M22" s="23">
        <v>400</v>
      </c>
      <c r="N22" s="23">
        <v>600</v>
      </c>
      <c r="O22" s="23" t="s">
        <v>31</v>
      </c>
      <c r="P22" s="23" t="s">
        <v>247</v>
      </c>
      <c r="Q22" s="23" t="s">
        <v>259</v>
      </c>
      <c r="R22" s="23">
        <v>2</v>
      </c>
      <c r="S22" s="23" t="s">
        <v>31</v>
      </c>
      <c r="T22" s="23" t="s">
        <v>31</v>
      </c>
      <c r="U22" s="23" t="s">
        <v>31</v>
      </c>
      <c r="V22" s="23" t="s">
        <v>31</v>
      </c>
      <c r="W22" s="23" t="s">
        <v>31</v>
      </c>
      <c r="X22" s="23" t="s">
        <v>31</v>
      </c>
      <c r="Y22" s="23" t="s">
        <v>260</v>
      </c>
    </row>
    <row r="23" spans="1:25" hidden="1" x14ac:dyDescent="0.25">
      <c r="A23" s="24" t="s">
        <v>241</v>
      </c>
      <c r="B23" s="23" t="s">
        <v>242</v>
      </c>
      <c r="C23" s="23" t="s">
        <v>243</v>
      </c>
      <c r="D23" s="23" t="s">
        <v>244</v>
      </c>
      <c r="E23" s="23" t="s">
        <v>245</v>
      </c>
      <c r="F23" s="23">
        <v>2023</v>
      </c>
      <c r="G23" s="23" t="s">
        <v>262</v>
      </c>
      <c r="H23" s="23" t="s">
        <v>66</v>
      </c>
      <c r="I23" s="23" t="s">
        <v>31</v>
      </c>
      <c r="J23" s="23" t="s">
        <v>258</v>
      </c>
      <c r="K23" s="23">
        <v>1</v>
      </c>
      <c r="L23" s="23">
        <v>0</v>
      </c>
      <c r="M23" s="23">
        <v>400</v>
      </c>
      <c r="N23" s="23">
        <v>600</v>
      </c>
      <c r="O23" s="23" t="s">
        <v>31</v>
      </c>
      <c r="P23" s="23" t="s">
        <v>247</v>
      </c>
      <c r="Q23" s="23" t="s">
        <v>259</v>
      </c>
      <c r="R23" s="23">
        <v>2</v>
      </c>
      <c r="S23" s="23" t="s">
        <v>31</v>
      </c>
      <c r="T23" s="23" t="s">
        <v>31</v>
      </c>
      <c r="U23" s="23" t="s">
        <v>31</v>
      </c>
      <c r="V23" s="23" t="s">
        <v>31</v>
      </c>
      <c r="W23" s="23" t="s">
        <v>31</v>
      </c>
      <c r="X23" s="23" t="s">
        <v>31</v>
      </c>
      <c r="Y23" s="23" t="s">
        <v>260</v>
      </c>
    </row>
    <row r="24" spans="1:25" hidden="1" x14ac:dyDescent="0.25">
      <c r="A24" s="24" t="s">
        <v>241</v>
      </c>
      <c r="B24" s="23" t="s">
        <v>242</v>
      </c>
      <c r="C24" s="23" t="s">
        <v>243</v>
      </c>
      <c r="D24" s="23" t="s">
        <v>244</v>
      </c>
      <c r="E24" s="23" t="s">
        <v>245</v>
      </c>
      <c r="F24" s="23">
        <v>2023</v>
      </c>
      <c r="G24" s="23" t="s">
        <v>263</v>
      </c>
      <c r="H24" s="23" t="s">
        <v>66</v>
      </c>
      <c r="I24" s="23" t="s">
        <v>31</v>
      </c>
      <c r="J24" s="23" t="s">
        <v>258</v>
      </c>
      <c r="K24" s="23">
        <v>1</v>
      </c>
      <c r="L24" s="23">
        <v>0</v>
      </c>
      <c r="M24" s="23">
        <v>400</v>
      </c>
      <c r="N24" s="23">
        <v>600</v>
      </c>
      <c r="O24" s="23" t="s">
        <v>31</v>
      </c>
      <c r="P24" s="23" t="s">
        <v>247</v>
      </c>
      <c r="Q24" s="23" t="s">
        <v>259</v>
      </c>
      <c r="R24" s="23">
        <v>2</v>
      </c>
      <c r="S24" s="23" t="s">
        <v>31</v>
      </c>
      <c r="T24" s="23" t="s">
        <v>31</v>
      </c>
      <c r="U24" s="23" t="s">
        <v>31</v>
      </c>
      <c r="V24" s="23" t="s">
        <v>31</v>
      </c>
      <c r="W24" s="23" t="s">
        <v>31</v>
      </c>
      <c r="X24" s="23" t="s">
        <v>31</v>
      </c>
      <c r="Y24" s="23" t="s">
        <v>260</v>
      </c>
    </row>
    <row r="25" spans="1:25" hidden="1" x14ac:dyDescent="0.25">
      <c r="A25" s="24" t="s">
        <v>241</v>
      </c>
      <c r="B25" s="23" t="s">
        <v>242</v>
      </c>
      <c r="C25" s="23" t="s">
        <v>243</v>
      </c>
      <c r="D25" s="23" t="s">
        <v>244</v>
      </c>
      <c r="E25" s="23" t="s">
        <v>245</v>
      </c>
      <c r="F25" s="23">
        <v>2023</v>
      </c>
      <c r="G25" s="23" t="s">
        <v>264</v>
      </c>
      <c r="H25" s="23" t="s">
        <v>66</v>
      </c>
      <c r="I25" s="23" t="s">
        <v>31</v>
      </c>
      <c r="J25" s="23" t="s">
        <v>258</v>
      </c>
      <c r="K25" s="23">
        <v>1</v>
      </c>
      <c r="L25" s="23">
        <v>0</v>
      </c>
      <c r="M25" s="23">
        <v>400</v>
      </c>
      <c r="N25" s="23">
        <v>600</v>
      </c>
      <c r="O25" s="23" t="s">
        <v>31</v>
      </c>
      <c r="P25" s="23" t="s">
        <v>247</v>
      </c>
      <c r="Q25" s="23" t="s">
        <v>259</v>
      </c>
      <c r="R25" s="23">
        <v>2</v>
      </c>
      <c r="S25" s="23" t="s">
        <v>31</v>
      </c>
      <c r="T25" s="23" t="s">
        <v>31</v>
      </c>
      <c r="U25" s="23" t="s">
        <v>31</v>
      </c>
      <c r="V25" s="23" t="s">
        <v>31</v>
      </c>
      <c r="W25" s="23" t="s">
        <v>31</v>
      </c>
      <c r="X25" s="23" t="s">
        <v>31</v>
      </c>
      <c r="Y25" s="23" t="s">
        <v>260</v>
      </c>
    </row>
    <row r="26" spans="1:25" hidden="1" x14ac:dyDescent="0.25">
      <c r="A26" s="24" t="s">
        <v>241</v>
      </c>
      <c r="B26" s="23" t="s">
        <v>242</v>
      </c>
      <c r="C26" s="23" t="s">
        <v>243</v>
      </c>
      <c r="D26" s="23" t="s">
        <v>244</v>
      </c>
      <c r="E26" s="23" t="s">
        <v>245</v>
      </c>
      <c r="F26" s="23">
        <v>2023</v>
      </c>
      <c r="G26" s="23" t="s">
        <v>68</v>
      </c>
      <c r="H26" s="23" t="s">
        <v>66</v>
      </c>
      <c r="I26" s="23" t="s">
        <v>31</v>
      </c>
      <c r="J26" s="23" t="s">
        <v>258</v>
      </c>
      <c r="K26" s="23">
        <v>1</v>
      </c>
      <c r="L26" s="23">
        <v>0</v>
      </c>
      <c r="M26" s="23">
        <v>400</v>
      </c>
      <c r="N26" s="23">
        <v>600</v>
      </c>
      <c r="O26" s="23" t="s">
        <v>31</v>
      </c>
      <c r="P26" s="23" t="s">
        <v>247</v>
      </c>
      <c r="Q26" s="23" t="s">
        <v>259</v>
      </c>
      <c r="R26" s="23">
        <v>2</v>
      </c>
      <c r="S26" s="23" t="s">
        <v>31</v>
      </c>
      <c r="T26" s="23" t="s">
        <v>31</v>
      </c>
      <c r="U26" s="23" t="s">
        <v>31</v>
      </c>
      <c r="V26" s="23" t="s">
        <v>31</v>
      </c>
      <c r="W26" s="23" t="s">
        <v>31</v>
      </c>
      <c r="X26" s="23" t="s">
        <v>31</v>
      </c>
      <c r="Y26" s="23" t="s">
        <v>260</v>
      </c>
    </row>
    <row r="27" spans="1:25" hidden="1" x14ac:dyDescent="0.25">
      <c r="A27" s="24" t="s">
        <v>241</v>
      </c>
      <c r="B27" s="23" t="s">
        <v>242</v>
      </c>
      <c r="C27" s="23" t="s">
        <v>243</v>
      </c>
      <c r="D27" s="23" t="s">
        <v>244</v>
      </c>
      <c r="E27" s="23" t="s">
        <v>245</v>
      </c>
      <c r="F27" s="23">
        <v>2023</v>
      </c>
      <c r="G27" s="25" t="s">
        <v>265</v>
      </c>
      <c r="H27" s="24" t="s">
        <v>266</v>
      </c>
      <c r="I27" s="23" t="s">
        <v>31</v>
      </c>
      <c r="J27" s="23" t="s">
        <v>258</v>
      </c>
      <c r="K27" s="23">
        <v>1</v>
      </c>
      <c r="L27" s="23">
        <v>0</v>
      </c>
      <c r="M27" s="23">
        <v>400</v>
      </c>
      <c r="N27" s="23">
        <v>600</v>
      </c>
      <c r="O27" s="23" t="s">
        <v>31</v>
      </c>
      <c r="P27" s="23" t="s">
        <v>247</v>
      </c>
      <c r="Q27" s="23" t="s">
        <v>259</v>
      </c>
      <c r="R27" s="23">
        <v>2</v>
      </c>
      <c r="S27" s="23" t="s">
        <v>31</v>
      </c>
      <c r="T27" s="23" t="s">
        <v>31</v>
      </c>
      <c r="U27" s="23" t="s">
        <v>31</v>
      </c>
      <c r="V27" s="23" t="s">
        <v>31</v>
      </c>
      <c r="W27" s="23" t="s">
        <v>31</v>
      </c>
      <c r="X27" s="23" t="s">
        <v>31</v>
      </c>
      <c r="Y27" s="23" t="s">
        <v>260</v>
      </c>
    </row>
    <row r="28" spans="1:25" hidden="1" x14ac:dyDescent="0.25">
      <c r="A28" s="24" t="s">
        <v>241</v>
      </c>
      <c r="B28" s="23" t="s">
        <v>242</v>
      </c>
      <c r="C28" s="23" t="s">
        <v>243</v>
      </c>
      <c r="D28" s="23" t="s">
        <v>244</v>
      </c>
      <c r="E28" s="23" t="s">
        <v>245</v>
      </c>
      <c r="F28" s="23">
        <v>2023</v>
      </c>
      <c r="G28" s="204" t="s">
        <v>267</v>
      </c>
      <c r="H28" s="24" t="s">
        <v>57</v>
      </c>
      <c r="I28" s="23" t="s">
        <v>31</v>
      </c>
      <c r="J28" s="23" t="s">
        <v>258</v>
      </c>
      <c r="K28" s="23">
        <v>1</v>
      </c>
      <c r="L28" s="23">
        <v>0</v>
      </c>
      <c r="M28" s="23">
        <v>400</v>
      </c>
      <c r="N28" s="23">
        <v>600</v>
      </c>
      <c r="O28" s="23" t="s">
        <v>31</v>
      </c>
      <c r="P28" s="23" t="s">
        <v>247</v>
      </c>
      <c r="Q28" s="23" t="s">
        <v>259</v>
      </c>
      <c r="R28" s="23">
        <v>2</v>
      </c>
      <c r="S28" s="23" t="s">
        <v>31</v>
      </c>
      <c r="T28" s="23" t="s">
        <v>31</v>
      </c>
      <c r="U28" s="23" t="s">
        <v>31</v>
      </c>
      <c r="V28" s="23" t="s">
        <v>31</v>
      </c>
      <c r="W28" s="23" t="s">
        <v>31</v>
      </c>
      <c r="X28" s="23" t="s">
        <v>31</v>
      </c>
      <c r="Y28" s="23" t="s">
        <v>260</v>
      </c>
    </row>
    <row r="29" spans="1:25" hidden="1" x14ac:dyDescent="0.25">
      <c r="A29" s="24" t="s">
        <v>241</v>
      </c>
      <c r="B29" s="23" t="s">
        <v>242</v>
      </c>
      <c r="C29" s="23" t="s">
        <v>243</v>
      </c>
      <c r="D29" s="23" t="s">
        <v>244</v>
      </c>
      <c r="E29" s="23" t="s">
        <v>245</v>
      </c>
      <c r="F29" s="23">
        <v>2023</v>
      </c>
      <c r="G29" s="26" t="s">
        <v>71</v>
      </c>
      <c r="H29" s="24" t="s">
        <v>57</v>
      </c>
      <c r="I29" s="23" t="s">
        <v>31</v>
      </c>
      <c r="J29" s="23" t="s">
        <v>258</v>
      </c>
      <c r="K29" s="23">
        <v>1</v>
      </c>
      <c r="L29" s="23">
        <v>0</v>
      </c>
      <c r="M29" s="23">
        <v>400</v>
      </c>
      <c r="N29" s="23">
        <v>600</v>
      </c>
      <c r="O29" s="23" t="s">
        <v>31</v>
      </c>
      <c r="P29" s="23" t="s">
        <v>247</v>
      </c>
      <c r="Q29" s="23" t="s">
        <v>259</v>
      </c>
      <c r="R29" s="23">
        <v>2</v>
      </c>
      <c r="S29" s="23" t="s">
        <v>31</v>
      </c>
      <c r="T29" s="23" t="s">
        <v>31</v>
      </c>
      <c r="U29" s="23" t="s">
        <v>31</v>
      </c>
      <c r="V29" s="23" t="s">
        <v>31</v>
      </c>
      <c r="W29" s="23" t="s">
        <v>31</v>
      </c>
      <c r="X29" s="23" t="s">
        <v>31</v>
      </c>
      <c r="Y29" s="23" t="s">
        <v>260</v>
      </c>
    </row>
    <row r="30" spans="1:25" hidden="1" x14ac:dyDescent="0.25">
      <c r="A30" s="24" t="s">
        <v>241</v>
      </c>
      <c r="B30" s="23" t="s">
        <v>242</v>
      </c>
      <c r="C30" s="23" t="s">
        <v>243</v>
      </c>
      <c r="D30" s="23" t="s">
        <v>244</v>
      </c>
      <c r="E30" s="23" t="s">
        <v>245</v>
      </c>
      <c r="F30" s="23">
        <v>2023</v>
      </c>
      <c r="G30" s="26" t="s">
        <v>123</v>
      </c>
      <c r="H30" s="24" t="s">
        <v>66</v>
      </c>
      <c r="I30" s="23" t="s">
        <v>31</v>
      </c>
      <c r="J30" s="23" t="s">
        <v>258</v>
      </c>
      <c r="K30" s="23">
        <v>1</v>
      </c>
      <c r="L30" s="23">
        <v>0</v>
      </c>
      <c r="M30" s="23">
        <v>400</v>
      </c>
      <c r="N30" s="23">
        <v>600</v>
      </c>
      <c r="O30" s="23" t="s">
        <v>31</v>
      </c>
      <c r="P30" s="23" t="s">
        <v>247</v>
      </c>
      <c r="Q30" s="23" t="s">
        <v>259</v>
      </c>
      <c r="R30" s="23">
        <v>2</v>
      </c>
      <c r="S30" s="23" t="s">
        <v>31</v>
      </c>
      <c r="T30" s="23" t="s">
        <v>31</v>
      </c>
      <c r="U30" s="23" t="s">
        <v>31</v>
      </c>
      <c r="V30" s="23" t="s">
        <v>31</v>
      </c>
      <c r="W30" s="23" t="s">
        <v>31</v>
      </c>
      <c r="X30" s="23" t="s">
        <v>31</v>
      </c>
      <c r="Y30" s="23" t="s">
        <v>260</v>
      </c>
    </row>
    <row r="31" spans="1:25" hidden="1" x14ac:dyDescent="0.25">
      <c r="A31" s="24" t="s">
        <v>241</v>
      </c>
      <c r="B31" s="23" t="s">
        <v>242</v>
      </c>
      <c r="C31" s="23" t="s">
        <v>243</v>
      </c>
      <c r="D31" s="23" t="s">
        <v>244</v>
      </c>
      <c r="E31" s="23" t="s">
        <v>245</v>
      </c>
      <c r="F31" s="23">
        <v>2023</v>
      </c>
      <c r="G31" s="26" t="s">
        <v>256</v>
      </c>
      <c r="H31" s="24" t="s">
        <v>135</v>
      </c>
      <c r="I31" s="23" t="s">
        <v>31</v>
      </c>
      <c r="J31" s="23" t="s">
        <v>258</v>
      </c>
      <c r="K31" s="23">
        <v>1</v>
      </c>
      <c r="L31" s="23">
        <v>0</v>
      </c>
      <c r="M31" s="23">
        <v>400</v>
      </c>
      <c r="N31" s="23">
        <v>600</v>
      </c>
      <c r="O31" s="23" t="s">
        <v>31</v>
      </c>
      <c r="P31" s="23" t="s">
        <v>247</v>
      </c>
      <c r="Q31" s="23" t="s">
        <v>259</v>
      </c>
      <c r="R31" s="23">
        <v>2</v>
      </c>
      <c r="S31" s="23" t="s">
        <v>31</v>
      </c>
      <c r="T31" s="23" t="s">
        <v>31</v>
      </c>
      <c r="U31" s="23" t="s">
        <v>31</v>
      </c>
      <c r="V31" s="23" t="s">
        <v>31</v>
      </c>
      <c r="W31" s="23" t="s">
        <v>31</v>
      </c>
      <c r="X31" s="23" t="s">
        <v>31</v>
      </c>
      <c r="Y31" s="23" t="s">
        <v>260</v>
      </c>
    </row>
    <row r="32" spans="1:25" hidden="1" x14ac:dyDescent="0.25">
      <c r="A32" s="24" t="s">
        <v>241</v>
      </c>
      <c r="B32" s="23" t="s">
        <v>242</v>
      </c>
      <c r="C32" s="23" t="s">
        <v>243</v>
      </c>
      <c r="D32" s="23" t="s">
        <v>244</v>
      </c>
      <c r="E32" s="23" t="s">
        <v>245</v>
      </c>
      <c r="F32" s="23">
        <v>2023</v>
      </c>
      <c r="G32" s="26" t="s">
        <v>132</v>
      </c>
      <c r="H32" s="24" t="s">
        <v>66</v>
      </c>
      <c r="I32" s="23" t="s">
        <v>31</v>
      </c>
      <c r="J32" s="23" t="s">
        <v>258</v>
      </c>
      <c r="K32" s="23">
        <v>1</v>
      </c>
      <c r="L32" s="23">
        <v>0</v>
      </c>
      <c r="M32" s="23">
        <v>400</v>
      </c>
      <c r="N32" s="23">
        <v>600</v>
      </c>
      <c r="O32" s="23" t="s">
        <v>31</v>
      </c>
      <c r="P32" s="23" t="s">
        <v>247</v>
      </c>
      <c r="Q32" s="23" t="s">
        <v>259</v>
      </c>
      <c r="R32" s="23">
        <v>2</v>
      </c>
      <c r="S32" s="23" t="s">
        <v>31</v>
      </c>
      <c r="T32" s="23" t="s">
        <v>31</v>
      </c>
      <c r="U32" s="23" t="s">
        <v>31</v>
      </c>
      <c r="V32" s="23" t="s">
        <v>31</v>
      </c>
      <c r="W32" s="23" t="s">
        <v>31</v>
      </c>
      <c r="X32" s="23" t="s">
        <v>31</v>
      </c>
      <c r="Y32" s="23" t="s">
        <v>260</v>
      </c>
    </row>
    <row r="33" spans="1:25" hidden="1" x14ac:dyDescent="0.25">
      <c r="A33" s="24" t="s">
        <v>241</v>
      </c>
      <c r="B33" s="23" t="s">
        <v>242</v>
      </c>
      <c r="C33" s="23" t="s">
        <v>243</v>
      </c>
      <c r="D33" s="23" t="s">
        <v>244</v>
      </c>
      <c r="E33" s="23" t="s">
        <v>245</v>
      </c>
      <c r="F33" s="23">
        <v>2023</v>
      </c>
      <c r="G33" s="26" t="s">
        <v>96</v>
      </c>
      <c r="H33" s="24" t="s">
        <v>64</v>
      </c>
      <c r="I33" s="23" t="s">
        <v>31</v>
      </c>
      <c r="J33" s="23" t="s">
        <v>258</v>
      </c>
      <c r="K33" s="23">
        <v>1</v>
      </c>
      <c r="L33" s="23">
        <v>0</v>
      </c>
      <c r="M33" s="23">
        <v>400</v>
      </c>
      <c r="N33" s="23">
        <v>600</v>
      </c>
      <c r="O33" s="23" t="s">
        <v>31</v>
      </c>
      <c r="P33" s="23" t="s">
        <v>247</v>
      </c>
      <c r="Q33" s="23" t="s">
        <v>259</v>
      </c>
      <c r="R33" s="23">
        <v>2</v>
      </c>
      <c r="S33" s="23" t="s">
        <v>31</v>
      </c>
      <c r="T33" s="23" t="s">
        <v>31</v>
      </c>
      <c r="U33" s="23" t="s">
        <v>31</v>
      </c>
      <c r="V33" s="23" t="s">
        <v>31</v>
      </c>
      <c r="W33" s="23" t="s">
        <v>31</v>
      </c>
      <c r="X33" s="23" t="s">
        <v>31</v>
      </c>
      <c r="Y33" s="23" t="s">
        <v>260</v>
      </c>
    </row>
    <row r="34" spans="1:25" hidden="1" x14ac:dyDescent="0.25">
      <c r="A34" s="24" t="s">
        <v>241</v>
      </c>
      <c r="B34" s="23" t="s">
        <v>242</v>
      </c>
      <c r="C34" s="23" t="s">
        <v>243</v>
      </c>
      <c r="D34" s="23" t="s">
        <v>244</v>
      </c>
      <c r="E34" s="23" t="s">
        <v>245</v>
      </c>
      <c r="F34" s="23">
        <v>2023</v>
      </c>
      <c r="G34" s="26" t="s">
        <v>268</v>
      </c>
      <c r="H34" s="24" t="s">
        <v>64</v>
      </c>
      <c r="I34" s="23" t="s">
        <v>31</v>
      </c>
      <c r="J34" s="23" t="s">
        <v>258</v>
      </c>
      <c r="K34" s="23">
        <v>1</v>
      </c>
      <c r="L34" s="23">
        <v>0</v>
      </c>
      <c r="M34" s="23">
        <v>400</v>
      </c>
      <c r="N34" s="23">
        <v>600</v>
      </c>
      <c r="O34" s="23" t="s">
        <v>31</v>
      </c>
      <c r="P34" s="23" t="s">
        <v>247</v>
      </c>
      <c r="Q34" s="23" t="s">
        <v>259</v>
      </c>
      <c r="R34" s="23">
        <v>2</v>
      </c>
      <c r="S34" s="23" t="s">
        <v>31</v>
      </c>
      <c r="T34" s="23" t="s">
        <v>31</v>
      </c>
      <c r="U34" s="23" t="s">
        <v>31</v>
      </c>
      <c r="V34" s="23" t="s">
        <v>31</v>
      </c>
      <c r="W34" s="23" t="s">
        <v>31</v>
      </c>
      <c r="X34" s="23" t="s">
        <v>31</v>
      </c>
      <c r="Y34" s="23" t="s">
        <v>260</v>
      </c>
    </row>
    <row r="35" spans="1:25" hidden="1" x14ac:dyDescent="0.25">
      <c r="A35" s="24" t="s">
        <v>241</v>
      </c>
      <c r="B35" s="23" t="s">
        <v>242</v>
      </c>
      <c r="C35" s="23" t="s">
        <v>243</v>
      </c>
      <c r="D35" s="23" t="s">
        <v>244</v>
      </c>
      <c r="E35" s="23" t="s">
        <v>245</v>
      </c>
      <c r="F35" s="23">
        <v>2023</v>
      </c>
      <c r="G35" s="26" t="s">
        <v>169</v>
      </c>
      <c r="H35" s="24" t="s">
        <v>51</v>
      </c>
      <c r="I35" s="23" t="s">
        <v>31</v>
      </c>
      <c r="J35" s="23" t="s">
        <v>258</v>
      </c>
      <c r="K35" s="23">
        <v>1</v>
      </c>
      <c r="L35" s="23">
        <v>0</v>
      </c>
      <c r="M35" s="23">
        <v>400</v>
      </c>
      <c r="N35" s="23">
        <v>600</v>
      </c>
      <c r="O35" s="23" t="s">
        <v>31</v>
      </c>
      <c r="P35" s="23" t="s">
        <v>247</v>
      </c>
      <c r="Q35" s="23" t="s">
        <v>259</v>
      </c>
      <c r="R35" s="23">
        <v>2</v>
      </c>
      <c r="S35" s="23" t="s">
        <v>31</v>
      </c>
      <c r="T35" s="23" t="s">
        <v>31</v>
      </c>
      <c r="U35" s="23" t="s">
        <v>31</v>
      </c>
      <c r="V35" s="23" t="s">
        <v>31</v>
      </c>
      <c r="W35" s="23" t="s">
        <v>31</v>
      </c>
      <c r="X35" s="23" t="s">
        <v>31</v>
      </c>
      <c r="Y35" s="23" t="s">
        <v>260</v>
      </c>
    </row>
    <row r="36" spans="1:25" x14ac:dyDescent="0.25">
      <c r="A36" s="24" t="s">
        <v>241</v>
      </c>
      <c r="B36" s="23" t="s">
        <v>242</v>
      </c>
      <c r="C36" s="23" t="s">
        <v>243</v>
      </c>
      <c r="D36" s="23" t="s">
        <v>244</v>
      </c>
      <c r="E36" s="23" t="s">
        <v>245</v>
      </c>
      <c r="F36" s="23">
        <v>2023</v>
      </c>
      <c r="G36" s="26" t="s">
        <v>46</v>
      </c>
      <c r="H36" s="24" t="s">
        <v>150</v>
      </c>
      <c r="I36" s="23" t="s">
        <v>31</v>
      </c>
      <c r="J36" s="23" t="s">
        <v>258</v>
      </c>
      <c r="K36" s="23">
        <v>1</v>
      </c>
      <c r="L36" s="23">
        <v>0</v>
      </c>
      <c r="M36" s="23">
        <v>400</v>
      </c>
      <c r="N36" s="23">
        <v>600</v>
      </c>
      <c r="O36" s="23" t="s">
        <v>31</v>
      </c>
      <c r="P36" s="23" t="s">
        <v>247</v>
      </c>
      <c r="Q36" s="23" t="s">
        <v>259</v>
      </c>
      <c r="R36" s="23">
        <v>2</v>
      </c>
      <c r="S36" s="23" t="s">
        <v>31</v>
      </c>
      <c r="T36" s="23" t="s">
        <v>31</v>
      </c>
      <c r="U36" s="23" t="s">
        <v>31</v>
      </c>
      <c r="V36" s="23" t="s">
        <v>31</v>
      </c>
      <c r="W36" s="23" t="s">
        <v>31</v>
      </c>
      <c r="X36" s="23" t="s">
        <v>31</v>
      </c>
      <c r="Y36" s="23" t="s">
        <v>260</v>
      </c>
    </row>
    <row r="37" spans="1:25" hidden="1" x14ac:dyDescent="0.25">
      <c r="A37" s="24" t="s">
        <v>241</v>
      </c>
      <c r="B37" s="23" t="s">
        <v>242</v>
      </c>
      <c r="C37" s="23" t="s">
        <v>243</v>
      </c>
      <c r="D37" s="23" t="s">
        <v>244</v>
      </c>
      <c r="E37" s="23" t="s">
        <v>245</v>
      </c>
      <c r="F37" s="23">
        <v>2023</v>
      </c>
      <c r="G37" s="26" t="s">
        <v>262</v>
      </c>
      <c r="H37" s="24" t="s">
        <v>66</v>
      </c>
      <c r="I37" s="23" t="s">
        <v>31</v>
      </c>
      <c r="J37" s="23" t="s">
        <v>246</v>
      </c>
      <c r="K37" s="23">
        <v>0</v>
      </c>
      <c r="L37" s="23">
        <v>0</v>
      </c>
      <c r="M37" s="23">
        <v>400</v>
      </c>
      <c r="N37" s="23">
        <v>600</v>
      </c>
      <c r="O37" s="23" t="s">
        <v>31</v>
      </c>
      <c r="P37" s="23" t="s">
        <v>247</v>
      </c>
      <c r="Q37" s="23" t="s">
        <v>248</v>
      </c>
      <c r="R37" s="23" t="s">
        <v>31</v>
      </c>
      <c r="S37" s="23" t="s">
        <v>31</v>
      </c>
      <c r="T37" s="23" t="s">
        <v>31</v>
      </c>
      <c r="U37" s="23" t="s">
        <v>31</v>
      </c>
      <c r="V37" s="23" t="s">
        <v>31</v>
      </c>
      <c r="W37" s="23" t="s">
        <v>31</v>
      </c>
      <c r="X37" s="23" t="s">
        <v>31</v>
      </c>
      <c r="Y37" s="23" t="s">
        <v>269</v>
      </c>
    </row>
    <row r="38" spans="1:25" hidden="1" x14ac:dyDescent="0.25">
      <c r="A38" s="24" t="s">
        <v>241</v>
      </c>
      <c r="B38" s="23" t="s">
        <v>242</v>
      </c>
      <c r="C38" s="23" t="s">
        <v>243</v>
      </c>
      <c r="D38" s="23" t="s">
        <v>244</v>
      </c>
      <c r="E38" s="23" t="s">
        <v>245</v>
      </c>
      <c r="F38" s="23">
        <v>2023</v>
      </c>
      <c r="G38" s="26" t="s">
        <v>270</v>
      </c>
      <c r="H38" s="24" t="s">
        <v>66</v>
      </c>
      <c r="I38" s="23" t="s">
        <v>31</v>
      </c>
      <c r="J38" s="23" t="s">
        <v>246</v>
      </c>
      <c r="K38" s="23">
        <v>0</v>
      </c>
      <c r="L38" s="23">
        <v>0</v>
      </c>
      <c r="M38" s="23">
        <v>400</v>
      </c>
      <c r="N38" s="23">
        <v>600</v>
      </c>
      <c r="O38" s="23" t="s">
        <v>31</v>
      </c>
      <c r="P38" s="23" t="s">
        <v>247</v>
      </c>
      <c r="Q38" s="23" t="s">
        <v>248</v>
      </c>
      <c r="R38" s="23" t="s">
        <v>31</v>
      </c>
      <c r="S38" s="23" t="s">
        <v>31</v>
      </c>
      <c r="T38" s="23" t="s">
        <v>31</v>
      </c>
      <c r="U38" s="23" t="s">
        <v>31</v>
      </c>
      <c r="V38" s="23" t="s">
        <v>31</v>
      </c>
      <c r="W38" s="23" t="s">
        <v>31</v>
      </c>
      <c r="X38" s="23" t="s">
        <v>31</v>
      </c>
      <c r="Y38" s="23" t="s">
        <v>269</v>
      </c>
    </row>
    <row r="39" spans="1:25" hidden="1" x14ac:dyDescent="0.25">
      <c r="A39" s="24" t="s">
        <v>241</v>
      </c>
      <c r="B39" s="23" t="s">
        <v>242</v>
      </c>
      <c r="C39" s="23" t="s">
        <v>243</v>
      </c>
      <c r="D39" s="23" t="s">
        <v>244</v>
      </c>
      <c r="E39" s="23" t="s">
        <v>245</v>
      </c>
      <c r="F39" s="23">
        <v>2023</v>
      </c>
      <c r="G39" s="26" t="s">
        <v>271</v>
      </c>
      <c r="H39" s="24" t="s">
        <v>66</v>
      </c>
      <c r="I39" s="23" t="s">
        <v>31</v>
      </c>
      <c r="J39" s="23" t="s">
        <v>246</v>
      </c>
      <c r="K39" s="23">
        <v>0</v>
      </c>
      <c r="L39" s="23">
        <v>0</v>
      </c>
      <c r="M39" s="23">
        <v>400</v>
      </c>
      <c r="N39" s="23">
        <v>600</v>
      </c>
      <c r="O39" s="23" t="s">
        <v>31</v>
      </c>
      <c r="P39" s="23" t="s">
        <v>247</v>
      </c>
      <c r="Q39" s="23" t="s">
        <v>248</v>
      </c>
      <c r="R39" s="23" t="s">
        <v>31</v>
      </c>
      <c r="S39" s="23" t="s">
        <v>31</v>
      </c>
      <c r="T39" s="23" t="s">
        <v>31</v>
      </c>
      <c r="U39" s="23" t="s">
        <v>31</v>
      </c>
      <c r="V39" s="23" t="s">
        <v>31</v>
      </c>
      <c r="W39" s="23" t="s">
        <v>31</v>
      </c>
      <c r="X39" s="23" t="s">
        <v>31</v>
      </c>
      <c r="Y39" s="23" t="s">
        <v>269</v>
      </c>
    </row>
    <row r="40" spans="1:25" hidden="1" x14ac:dyDescent="0.25">
      <c r="A40" s="24" t="s">
        <v>241</v>
      </c>
      <c r="B40" s="23" t="s">
        <v>242</v>
      </c>
      <c r="C40" s="23" t="s">
        <v>243</v>
      </c>
      <c r="D40" s="23" t="s">
        <v>244</v>
      </c>
      <c r="E40" s="23" t="s">
        <v>245</v>
      </c>
      <c r="F40" s="23">
        <v>2023</v>
      </c>
      <c r="G40" s="26" t="s">
        <v>50</v>
      </c>
      <c r="H40" s="24" t="s">
        <v>51</v>
      </c>
      <c r="I40" s="23" t="s">
        <v>31</v>
      </c>
      <c r="J40" s="23" t="s">
        <v>246</v>
      </c>
      <c r="K40" s="23">
        <v>0</v>
      </c>
      <c r="L40" s="23">
        <v>0</v>
      </c>
      <c r="M40" s="23">
        <v>400</v>
      </c>
      <c r="N40" s="23">
        <v>600</v>
      </c>
      <c r="O40" s="23" t="s">
        <v>31</v>
      </c>
      <c r="P40" s="23" t="s">
        <v>247</v>
      </c>
      <c r="Q40" s="23" t="s">
        <v>248</v>
      </c>
      <c r="R40" s="23" t="s">
        <v>31</v>
      </c>
      <c r="S40" s="23" t="s">
        <v>31</v>
      </c>
      <c r="T40" s="23" t="s">
        <v>31</v>
      </c>
      <c r="U40" s="23" t="s">
        <v>31</v>
      </c>
      <c r="V40" s="23" t="s">
        <v>31</v>
      </c>
      <c r="W40" s="23" t="s">
        <v>31</v>
      </c>
      <c r="X40" s="23" t="s">
        <v>31</v>
      </c>
      <c r="Y40" s="23" t="s">
        <v>269</v>
      </c>
    </row>
    <row r="41" spans="1:25" hidden="1" x14ac:dyDescent="0.25">
      <c r="A41" s="24" t="s">
        <v>241</v>
      </c>
      <c r="B41" s="23" t="s">
        <v>242</v>
      </c>
      <c r="C41" s="23" t="s">
        <v>243</v>
      </c>
      <c r="D41" s="23" t="s">
        <v>244</v>
      </c>
      <c r="E41" s="23" t="s">
        <v>245</v>
      </c>
      <c r="F41" s="23">
        <v>2023</v>
      </c>
      <c r="G41" s="26" t="s">
        <v>73</v>
      </c>
      <c r="H41" s="73" t="s">
        <v>127</v>
      </c>
      <c r="I41" s="23" t="s">
        <v>31</v>
      </c>
      <c r="J41" s="23" t="s">
        <v>246</v>
      </c>
      <c r="K41" s="23">
        <v>0</v>
      </c>
      <c r="L41" s="23">
        <v>0</v>
      </c>
      <c r="M41" s="23">
        <v>400</v>
      </c>
      <c r="N41" s="23">
        <v>600</v>
      </c>
      <c r="O41" s="23" t="s">
        <v>31</v>
      </c>
      <c r="P41" s="23" t="s">
        <v>247</v>
      </c>
      <c r="Q41" s="23" t="s">
        <v>248</v>
      </c>
      <c r="R41" s="23" t="s">
        <v>31</v>
      </c>
      <c r="S41" s="23" t="s">
        <v>31</v>
      </c>
      <c r="T41" s="23" t="s">
        <v>31</v>
      </c>
      <c r="U41" s="23" t="s">
        <v>31</v>
      </c>
      <c r="V41" s="23" t="s">
        <v>31</v>
      </c>
      <c r="W41" s="23" t="s">
        <v>31</v>
      </c>
      <c r="X41" s="23" t="s">
        <v>31</v>
      </c>
      <c r="Y41" s="23" t="s">
        <v>269</v>
      </c>
    </row>
    <row r="42" spans="1:25" hidden="1" x14ac:dyDescent="0.25">
      <c r="A42" s="24" t="s">
        <v>241</v>
      </c>
      <c r="B42" s="23" t="s">
        <v>242</v>
      </c>
      <c r="C42" s="23" t="s">
        <v>243</v>
      </c>
      <c r="D42" s="23" t="s">
        <v>244</v>
      </c>
      <c r="E42" s="23" t="s">
        <v>245</v>
      </c>
      <c r="F42" s="23">
        <v>2023</v>
      </c>
      <c r="G42" s="26" t="s">
        <v>80</v>
      </c>
      <c r="H42" s="24" t="s">
        <v>66</v>
      </c>
      <c r="I42" s="23" t="s">
        <v>31</v>
      </c>
      <c r="J42" s="23" t="s">
        <v>246</v>
      </c>
      <c r="K42" s="23">
        <v>0</v>
      </c>
      <c r="L42" s="23">
        <v>0</v>
      </c>
      <c r="M42" s="23">
        <v>400</v>
      </c>
      <c r="N42" s="23">
        <v>600</v>
      </c>
      <c r="O42" s="23" t="s">
        <v>31</v>
      </c>
      <c r="P42" s="23" t="s">
        <v>247</v>
      </c>
      <c r="Q42" s="23" t="s">
        <v>248</v>
      </c>
      <c r="R42" s="23" t="s">
        <v>31</v>
      </c>
      <c r="S42" s="23" t="s">
        <v>31</v>
      </c>
      <c r="T42" s="23" t="s">
        <v>31</v>
      </c>
      <c r="U42" s="23" t="s">
        <v>31</v>
      </c>
      <c r="V42" s="23" t="s">
        <v>31</v>
      </c>
      <c r="W42" s="23" t="s">
        <v>31</v>
      </c>
      <c r="X42" s="23" t="s">
        <v>31</v>
      </c>
      <c r="Y42" s="23" t="s">
        <v>269</v>
      </c>
    </row>
    <row r="43" spans="1:25" hidden="1" x14ac:dyDescent="0.25">
      <c r="A43" s="24" t="s">
        <v>241</v>
      </c>
      <c r="B43" s="23" t="s">
        <v>242</v>
      </c>
      <c r="C43" s="23" t="s">
        <v>243</v>
      </c>
      <c r="D43" s="23" t="s">
        <v>244</v>
      </c>
      <c r="E43" s="23" t="s">
        <v>245</v>
      </c>
      <c r="F43" s="23">
        <v>2023</v>
      </c>
      <c r="G43" s="26" t="s">
        <v>89</v>
      </c>
      <c r="H43" s="24" t="s">
        <v>57</v>
      </c>
      <c r="I43" s="23" t="s">
        <v>31</v>
      </c>
      <c r="J43" s="23" t="s">
        <v>246</v>
      </c>
      <c r="K43" s="23">
        <v>0</v>
      </c>
      <c r="L43" s="23">
        <v>0</v>
      </c>
      <c r="M43" s="23">
        <v>400</v>
      </c>
      <c r="N43" s="23">
        <v>600</v>
      </c>
      <c r="O43" s="23" t="s">
        <v>31</v>
      </c>
      <c r="P43" s="23" t="s">
        <v>247</v>
      </c>
      <c r="Q43" s="23" t="s">
        <v>248</v>
      </c>
      <c r="R43" s="23" t="s">
        <v>31</v>
      </c>
      <c r="S43" s="23" t="s">
        <v>31</v>
      </c>
      <c r="T43" s="23" t="s">
        <v>31</v>
      </c>
      <c r="U43" s="23" t="s">
        <v>31</v>
      </c>
      <c r="V43" s="23" t="s">
        <v>31</v>
      </c>
      <c r="W43" s="23" t="s">
        <v>31</v>
      </c>
      <c r="X43" s="23" t="s">
        <v>31</v>
      </c>
      <c r="Y43" s="23" t="s">
        <v>269</v>
      </c>
    </row>
    <row r="44" spans="1:25" x14ac:dyDescent="0.25">
      <c r="A44" s="24" t="s">
        <v>241</v>
      </c>
      <c r="B44" s="23" t="s">
        <v>242</v>
      </c>
      <c r="C44" s="23" t="s">
        <v>243</v>
      </c>
      <c r="D44" s="23" t="s">
        <v>244</v>
      </c>
      <c r="E44" s="23" t="s">
        <v>245</v>
      </c>
      <c r="F44" s="23">
        <v>2023</v>
      </c>
      <c r="G44" s="26" t="s">
        <v>251</v>
      </c>
      <c r="H44" s="24" t="s">
        <v>272</v>
      </c>
      <c r="I44" s="23" t="s">
        <v>31</v>
      </c>
      <c r="J44" s="23" t="s">
        <v>246</v>
      </c>
      <c r="K44" s="23">
        <v>0</v>
      </c>
      <c r="L44" s="23">
        <v>0</v>
      </c>
      <c r="M44" s="23">
        <v>400</v>
      </c>
      <c r="N44" s="23">
        <v>600</v>
      </c>
      <c r="O44" s="23" t="s">
        <v>31</v>
      </c>
      <c r="P44" s="23" t="s">
        <v>247</v>
      </c>
      <c r="Q44" s="23" t="s">
        <v>248</v>
      </c>
      <c r="R44" s="23" t="s">
        <v>31</v>
      </c>
      <c r="S44" s="23" t="s">
        <v>31</v>
      </c>
      <c r="T44" s="23" t="s">
        <v>31</v>
      </c>
      <c r="U44" s="23" t="s">
        <v>31</v>
      </c>
      <c r="V44" s="23" t="s">
        <v>31</v>
      </c>
      <c r="W44" s="23" t="s">
        <v>31</v>
      </c>
      <c r="X44" s="23" t="s">
        <v>31</v>
      </c>
      <c r="Y44" s="23" t="s">
        <v>269</v>
      </c>
    </row>
    <row r="45" spans="1:25" hidden="1" x14ac:dyDescent="0.25">
      <c r="A45" s="24" t="s">
        <v>241</v>
      </c>
      <c r="B45" s="23" t="s">
        <v>242</v>
      </c>
      <c r="C45" s="23" t="s">
        <v>243</v>
      </c>
      <c r="D45" s="23" t="s">
        <v>244</v>
      </c>
      <c r="E45" s="23" t="s">
        <v>245</v>
      </c>
      <c r="F45" s="23">
        <v>2023</v>
      </c>
      <c r="G45" s="26" t="s">
        <v>82</v>
      </c>
      <c r="H45" s="167" t="s">
        <v>82</v>
      </c>
      <c r="I45" s="27" t="s">
        <v>31</v>
      </c>
      <c r="J45" s="24" t="s">
        <v>246</v>
      </c>
      <c r="K45" s="23">
        <v>0</v>
      </c>
      <c r="L45" s="23">
        <v>0</v>
      </c>
      <c r="M45" s="23">
        <v>400</v>
      </c>
      <c r="N45" s="23">
        <v>600</v>
      </c>
      <c r="O45" s="23" t="s">
        <v>31</v>
      </c>
      <c r="P45" s="23" t="s">
        <v>247</v>
      </c>
      <c r="Q45" s="23" t="s">
        <v>248</v>
      </c>
      <c r="R45" s="23" t="s">
        <v>31</v>
      </c>
      <c r="S45" s="23" t="s">
        <v>31</v>
      </c>
      <c r="T45" s="23" t="s">
        <v>31</v>
      </c>
      <c r="U45" s="23" t="s">
        <v>31</v>
      </c>
      <c r="V45" s="23" t="s">
        <v>31</v>
      </c>
      <c r="W45" s="23" t="s">
        <v>31</v>
      </c>
      <c r="X45" s="23" t="s">
        <v>31</v>
      </c>
      <c r="Y45" s="23" t="s">
        <v>269</v>
      </c>
    </row>
    <row r="46" spans="1:25" hidden="1" x14ac:dyDescent="0.25">
      <c r="A46" s="24" t="s">
        <v>241</v>
      </c>
      <c r="B46" s="23" t="s">
        <v>242</v>
      </c>
      <c r="C46" s="23" t="s">
        <v>243</v>
      </c>
      <c r="D46" s="23" t="s">
        <v>244</v>
      </c>
      <c r="E46" s="23" t="s">
        <v>245</v>
      </c>
      <c r="F46" s="23">
        <v>2023</v>
      </c>
      <c r="G46" s="26" t="s">
        <v>143</v>
      </c>
      <c r="H46" s="28" t="s">
        <v>143</v>
      </c>
      <c r="I46" s="27" t="s">
        <v>31</v>
      </c>
      <c r="J46" s="24" t="s">
        <v>246</v>
      </c>
      <c r="K46" s="23">
        <v>0</v>
      </c>
      <c r="L46" s="23">
        <v>0</v>
      </c>
      <c r="M46" s="23">
        <v>400</v>
      </c>
      <c r="N46" s="23">
        <v>600</v>
      </c>
      <c r="O46" s="23" t="s">
        <v>31</v>
      </c>
      <c r="P46" s="23" t="s">
        <v>247</v>
      </c>
      <c r="Q46" s="23" t="s">
        <v>248</v>
      </c>
      <c r="R46" s="23" t="s">
        <v>31</v>
      </c>
      <c r="S46" s="23" t="s">
        <v>31</v>
      </c>
      <c r="T46" s="23" t="s">
        <v>31</v>
      </c>
      <c r="U46" s="23" t="s">
        <v>31</v>
      </c>
      <c r="V46" s="23" t="s">
        <v>31</v>
      </c>
      <c r="W46" s="23" t="s">
        <v>31</v>
      </c>
      <c r="X46" s="23" t="s">
        <v>31</v>
      </c>
      <c r="Y46" s="23" t="s">
        <v>269</v>
      </c>
    </row>
    <row r="47" spans="1:25" hidden="1" x14ac:dyDescent="0.25">
      <c r="A47" s="24" t="s">
        <v>241</v>
      </c>
      <c r="B47" s="23" t="s">
        <v>242</v>
      </c>
      <c r="C47" s="23" t="s">
        <v>243</v>
      </c>
      <c r="D47" s="23" t="s">
        <v>244</v>
      </c>
      <c r="E47" s="23" t="s">
        <v>245</v>
      </c>
      <c r="F47" s="23">
        <v>2023</v>
      </c>
      <c r="G47" s="26" t="s">
        <v>254</v>
      </c>
      <c r="H47" s="21" t="s">
        <v>66</v>
      </c>
      <c r="I47" s="22" t="s">
        <v>31</v>
      </c>
      <c r="J47" s="23" t="s">
        <v>246</v>
      </c>
      <c r="K47" s="23">
        <v>0</v>
      </c>
      <c r="L47" s="23">
        <v>0</v>
      </c>
      <c r="M47" s="23">
        <v>400</v>
      </c>
      <c r="N47" s="23">
        <v>600</v>
      </c>
      <c r="O47" s="23" t="s">
        <v>31</v>
      </c>
      <c r="P47" s="23" t="s">
        <v>247</v>
      </c>
      <c r="Q47" s="23" t="s">
        <v>248</v>
      </c>
      <c r="R47" s="23" t="s">
        <v>31</v>
      </c>
      <c r="S47" s="23" t="s">
        <v>31</v>
      </c>
      <c r="T47" s="23" t="s">
        <v>31</v>
      </c>
      <c r="U47" s="23" t="s">
        <v>31</v>
      </c>
      <c r="V47" s="23" t="s">
        <v>31</v>
      </c>
      <c r="W47" s="23" t="s">
        <v>31</v>
      </c>
      <c r="X47" s="23" t="s">
        <v>31</v>
      </c>
      <c r="Y47" s="23" t="s">
        <v>269</v>
      </c>
    </row>
    <row r="48" spans="1:25" hidden="1" x14ac:dyDescent="0.25">
      <c r="A48" s="24" t="s">
        <v>241</v>
      </c>
      <c r="B48" s="23" t="s">
        <v>242</v>
      </c>
      <c r="C48" s="23" t="s">
        <v>243</v>
      </c>
      <c r="D48" s="23" t="s">
        <v>244</v>
      </c>
      <c r="E48" s="23" t="s">
        <v>245</v>
      </c>
      <c r="F48" s="23">
        <v>2023</v>
      </c>
      <c r="G48" s="26" t="s">
        <v>273</v>
      </c>
      <c r="H48" s="24" t="s">
        <v>66</v>
      </c>
      <c r="I48" s="23" t="s">
        <v>31</v>
      </c>
      <c r="J48" s="23" t="s">
        <v>246</v>
      </c>
      <c r="K48" s="23">
        <v>0</v>
      </c>
      <c r="L48" s="23">
        <v>0</v>
      </c>
      <c r="M48" s="23">
        <v>400</v>
      </c>
      <c r="N48" s="23">
        <v>600</v>
      </c>
      <c r="O48" s="23" t="s">
        <v>31</v>
      </c>
      <c r="P48" s="23" t="s">
        <v>247</v>
      </c>
      <c r="Q48" s="23" t="s">
        <v>248</v>
      </c>
      <c r="R48" s="23" t="s">
        <v>31</v>
      </c>
      <c r="S48" s="23" t="s">
        <v>31</v>
      </c>
      <c r="T48" s="23" t="s">
        <v>31</v>
      </c>
      <c r="U48" s="23" t="s">
        <v>31</v>
      </c>
      <c r="V48" s="23" t="s">
        <v>31</v>
      </c>
      <c r="W48" s="23" t="s">
        <v>31</v>
      </c>
      <c r="X48" s="23" t="s">
        <v>31</v>
      </c>
      <c r="Y48" s="23" t="s">
        <v>269</v>
      </c>
    </row>
    <row r="49" spans="1:25" hidden="1" x14ac:dyDescent="0.25">
      <c r="A49" s="24" t="s">
        <v>241</v>
      </c>
      <c r="B49" s="23" t="s">
        <v>242</v>
      </c>
      <c r="C49" s="23" t="s">
        <v>243</v>
      </c>
      <c r="D49" s="23" t="s">
        <v>244</v>
      </c>
      <c r="E49" s="23" t="s">
        <v>245</v>
      </c>
      <c r="F49" s="23">
        <v>2023</v>
      </c>
      <c r="G49" s="22" t="s">
        <v>37</v>
      </c>
      <c r="H49" s="23" t="s">
        <v>66</v>
      </c>
      <c r="I49" s="23" t="s">
        <v>31</v>
      </c>
      <c r="J49" s="23" t="s">
        <v>246</v>
      </c>
      <c r="K49" s="23">
        <v>0</v>
      </c>
      <c r="L49" s="23">
        <v>0</v>
      </c>
      <c r="M49" s="23">
        <v>400</v>
      </c>
      <c r="N49" s="23">
        <v>600</v>
      </c>
      <c r="O49" s="23" t="s">
        <v>31</v>
      </c>
      <c r="P49" s="23" t="s">
        <v>247</v>
      </c>
      <c r="Q49" s="23" t="s">
        <v>248</v>
      </c>
      <c r="R49" s="23" t="s">
        <v>31</v>
      </c>
      <c r="S49" s="23" t="s">
        <v>31</v>
      </c>
      <c r="T49" s="23" t="s">
        <v>31</v>
      </c>
      <c r="U49" s="23" t="s">
        <v>31</v>
      </c>
      <c r="V49" s="23" t="s">
        <v>31</v>
      </c>
      <c r="W49" s="23" t="s">
        <v>31</v>
      </c>
      <c r="X49" s="23" t="s">
        <v>31</v>
      </c>
      <c r="Y49" s="23" t="s">
        <v>269</v>
      </c>
    </row>
    <row r="50" spans="1:25" hidden="1" x14ac:dyDescent="0.25">
      <c r="A50" s="24" t="s">
        <v>241</v>
      </c>
      <c r="B50" s="23" t="s">
        <v>242</v>
      </c>
      <c r="C50" s="23" t="s">
        <v>243</v>
      </c>
      <c r="D50" s="23" t="s">
        <v>244</v>
      </c>
      <c r="E50" s="23" t="s">
        <v>245</v>
      </c>
      <c r="F50" s="23">
        <v>2023</v>
      </c>
      <c r="G50" s="23" t="s">
        <v>42</v>
      </c>
      <c r="H50" s="23" t="s">
        <v>66</v>
      </c>
      <c r="I50" s="23" t="s">
        <v>31</v>
      </c>
      <c r="J50" s="23" t="s">
        <v>246</v>
      </c>
      <c r="K50" s="23">
        <v>0</v>
      </c>
      <c r="L50" s="23">
        <v>0</v>
      </c>
      <c r="M50" s="23">
        <v>400</v>
      </c>
      <c r="N50" s="23">
        <v>600</v>
      </c>
      <c r="O50" s="23" t="s">
        <v>31</v>
      </c>
      <c r="P50" s="23" t="s">
        <v>247</v>
      </c>
      <c r="Q50" s="23" t="s">
        <v>248</v>
      </c>
      <c r="R50" s="23" t="s">
        <v>31</v>
      </c>
      <c r="S50" s="23" t="s">
        <v>31</v>
      </c>
      <c r="T50" s="23" t="s">
        <v>31</v>
      </c>
      <c r="U50" s="23" t="s">
        <v>31</v>
      </c>
      <c r="V50" s="23" t="s">
        <v>31</v>
      </c>
      <c r="W50" s="23" t="s">
        <v>31</v>
      </c>
      <c r="X50" s="23" t="s">
        <v>31</v>
      </c>
      <c r="Y50" s="23" t="s">
        <v>269</v>
      </c>
    </row>
    <row r="51" spans="1:25" hidden="1" x14ac:dyDescent="0.25">
      <c r="A51" s="24" t="s">
        <v>241</v>
      </c>
      <c r="B51" s="23" t="s">
        <v>242</v>
      </c>
      <c r="C51" s="23" t="s">
        <v>243</v>
      </c>
      <c r="D51" s="23" t="s">
        <v>244</v>
      </c>
      <c r="E51" s="23" t="s">
        <v>245</v>
      </c>
      <c r="F51" s="23">
        <v>2023</v>
      </c>
      <c r="G51" s="23" t="s">
        <v>112</v>
      </c>
      <c r="H51" s="23" t="s">
        <v>66</v>
      </c>
      <c r="I51" s="23" t="s">
        <v>31</v>
      </c>
      <c r="J51" s="23" t="s">
        <v>246</v>
      </c>
      <c r="K51" s="23">
        <v>0</v>
      </c>
      <c r="L51" s="23">
        <v>0</v>
      </c>
      <c r="M51" s="23">
        <v>400</v>
      </c>
      <c r="N51" s="23">
        <v>600</v>
      </c>
      <c r="O51" s="23" t="s">
        <v>31</v>
      </c>
      <c r="P51" s="23" t="s">
        <v>247</v>
      </c>
      <c r="Q51" s="23" t="s">
        <v>248</v>
      </c>
      <c r="R51" s="23" t="s">
        <v>31</v>
      </c>
      <c r="S51" s="23" t="s">
        <v>31</v>
      </c>
      <c r="T51" s="23" t="s">
        <v>31</v>
      </c>
      <c r="U51" s="23" t="s">
        <v>31</v>
      </c>
      <c r="V51" s="23" t="s">
        <v>31</v>
      </c>
      <c r="W51" s="23" t="s">
        <v>31</v>
      </c>
      <c r="X51" s="23" t="s">
        <v>31</v>
      </c>
      <c r="Y51" s="23" t="s">
        <v>269</v>
      </c>
    </row>
    <row r="52" spans="1:25" hidden="1" x14ac:dyDescent="0.25">
      <c r="A52" s="24" t="s">
        <v>241</v>
      </c>
      <c r="B52" s="23" t="s">
        <v>242</v>
      </c>
      <c r="C52" s="23" t="s">
        <v>243</v>
      </c>
      <c r="D52" s="23" t="s">
        <v>244</v>
      </c>
      <c r="E52" s="23" t="s">
        <v>245</v>
      </c>
      <c r="F52" s="23">
        <v>2023</v>
      </c>
      <c r="G52" s="23" t="s">
        <v>72</v>
      </c>
      <c r="H52" s="23" t="s">
        <v>66</v>
      </c>
      <c r="I52" s="23" t="s">
        <v>31</v>
      </c>
      <c r="J52" s="23" t="s">
        <v>246</v>
      </c>
      <c r="K52" s="23">
        <v>0</v>
      </c>
      <c r="L52" s="23">
        <v>0</v>
      </c>
      <c r="M52" s="23">
        <v>400</v>
      </c>
      <c r="N52" s="23">
        <v>600</v>
      </c>
      <c r="O52" s="23" t="s">
        <v>31</v>
      </c>
      <c r="P52" s="23" t="s">
        <v>247</v>
      </c>
      <c r="Q52" s="23" t="s">
        <v>248</v>
      </c>
      <c r="R52" s="23" t="s">
        <v>31</v>
      </c>
      <c r="S52" s="23" t="s">
        <v>31</v>
      </c>
      <c r="T52" s="23" t="s">
        <v>31</v>
      </c>
      <c r="U52" s="23" t="s">
        <v>31</v>
      </c>
      <c r="V52" s="23" t="s">
        <v>31</v>
      </c>
      <c r="W52" s="23" t="s">
        <v>31</v>
      </c>
      <c r="X52" s="23" t="s">
        <v>31</v>
      </c>
      <c r="Y52" s="23" t="s">
        <v>269</v>
      </c>
    </row>
    <row r="53" spans="1:25" hidden="1" x14ac:dyDescent="0.25">
      <c r="A53" s="24" t="s">
        <v>241</v>
      </c>
      <c r="B53" s="23" t="s">
        <v>242</v>
      </c>
      <c r="C53" s="23" t="s">
        <v>243</v>
      </c>
      <c r="D53" s="23" t="s">
        <v>244</v>
      </c>
      <c r="E53" s="23" t="s">
        <v>245</v>
      </c>
      <c r="F53" s="23">
        <v>2023</v>
      </c>
      <c r="G53" s="23" t="s">
        <v>261</v>
      </c>
      <c r="H53" s="23" t="s">
        <v>66</v>
      </c>
      <c r="I53" s="23" t="s">
        <v>31</v>
      </c>
      <c r="J53" s="23" t="s">
        <v>246</v>
      </c>
      <c r="K53" s="23">
        <v>0</v>
      </c>
      <c r="L53" s="23">
        <v>0</v>
      </c>
      <c r="M53" s="23">
        <v>400</v>
      </c>
      <c r="N53" s="23">
        <v>600</v>
      </c>
      <c r="O53" s="23" t="s">
        <v>31</v>
      </c>
      <c r="P53" s="23" t="s">
        <v>247</v>
      </c>
      <c r="Q53" s="23" t="s">
        <v>248</v>
      </c>
      <c r="R53" s="23" t="s">
        <v>31</v>
      </c>
      <c r="S53" s="23" t="s">
        <v>31</v>
      </c>
      <c r="T53" s="23" t="s">
        <v>31</v>
      </c>
      <c r="U53" s="23" t="s">
        <v>31</v>
      </c>
      <c r="V53" s="23" t="s">
        <v>31</v>
      </c>
      <c r="W53" s="23" t="s">
        <v>31</v>
      </c>
      <c r="X53" s="23" t="s">
        <v>31</v>
      </c>
      <c r="Y53" s="23" t="s">
        <v>269</v>
      </c>
    </row>
    <row r="54" spans="1:25" hidden="1" x14ac:dyDescent="0.25">
      <c r="A54" s="24" t="s">
        <v>241</v>
      </c>
      <c r="B54" s="23" t="s">
        <v>242</v>
      </c>
      <c r="C54" s="23" t="s">
        <v>243</v>
      </c>
      <c r="D54" s="23" t="s">
        <v>244</v>
      </c>
      <c r="E54" s="23" t="s">
        <v>245</v>
      </c>
      <c r="F54" s="23">
        <v>2023</v>
      </c>
      <c r="G54" s="23" t="s">
        <v>124</v>
      </c>
      <c r="H54" s="23" t="s">
        <v>66</v>
      </c>
      <c r="I54" s="23" t="s">
        <v>31</v>
      </c>
      <c r="J54" s="23" t="s">
        <v>246</v>
      </c>
      <c r="K54" s="23">
        <v>0</v>
      </c>
      <c r="L54" s="23">
        <v>0</v>
      </c>
      <c r="M54" s="23">
        <v>400</v>
      </c>
      <c r="N54" s="23">
        <v>600</v>
      </c>
      <c r="O54" s="23" t="s">
        <v>31</v>
      </c>
      <c r="P54" s="23" t="s">
        <v>247</v>
      </c>
      <c r="Q54" s="23" t="s">
        <v>248</v>
      </c>
      <c r="R54" s="23" t="s">
        <v>31</v>
      </c>
      <c r="S54" s="23" t="s">
        <v>31</v>
      </c>
      <c r="T54" s="23" t="s">
        <v>31</v>
      </c>
      <c r="U54" s="23" t="s">
        <v>31</v>
      </c>
      <c r="V54" s="23" t="s">
        <v>31</v>
      </c>
      <c r="W54" s="23" t="s">
        <v>31</v>
      </c>
      <c r="X54" s="23" t="s">
        <v>31</v>
      </c>
      <c r="Y54" s="23" t="s">
        <v>269</v>
      </c>
    </row>
    <row r="55" spans="1:25" hidden="1" x14ac:dyDescent="0.25">
      <c r="A55" s="24" t="s">
        <v>241</v>
      </c>
      <c r="B55" s="23" t="s">
        <v>242</v>
      </c>
      <c r="C55" s="23" t="s">
        <v>243</v>
      </c>
      <c r="D55" s="23" t="s">
        <v>244</v>
      </c>
      <c r="E55" s="23" t="s">
        <v>245</v>
      </c>
      <c r="F55" s="23">
        <v>2023</v>
      </c>
      <c r="G55" s="23" t="s">
        <v>262</v>
      </c>
      <c r="H55" s="23" t="s">
        <v>66</v>
      </c>
      <c r="I55" s="23" t="s">
        <v>31</v>
      </c>
      <c r="J55" s="23" t="s">
        <v>246</v>
      </c>
      <c r="K55" s="23">
        <v>0</v>
      </c>
      <c r="L55" s="23">
        <v>0</v>
      </c>
      <c r="M55" s="23">
        <v>400</v>
      </c>
      <c r="N55" s="23">
        <v>600</v>
      </c>
      <c r="O55" s="23" t="s">
        <v>31</v>
      </c>
      <c r="P55" s="23" t="s">
        <v>247</v>
      </c>
      <c r="Q55" s="23" t="s">
        <v>248</v>
      </c>
      <c r="R55" s="23" t="s">
        <v>31</v>
      </c>
      <c r="S55" s="23" t="s">
        <v>31</v>
      </c>
      <c r="T55" s="23" t="s">
        <v>31</v>
      </c>
      <c r="U55" s="23" t="s">
        <v>31</v>
      </c>
      <c r="V55" s="23" t="s">
        <v>31</v>
      </c>
      <c r="W55" s="23" t="s">
        <v>31</v>
      </c>
      <c r="X55" s="23" t="s">
        <v>31</v>
      </c>
      <c r="Y55" s="23" t="s">
        <v>269</v>
      </c>
    </row>
    <row r="56" spans="1:25" hidden="1" x14ac:dyDescent="0.25">
      <c r="A56" s="24" t="s">
        <v>241</v>
      </c>
      <c r="B56" s="23" t="s">
        <v>242</v>
      </c>
      <c r="C56" s="23" t="s">
        <v>243</v>
      </c>
      <c r="D56" s="23" t="s">
        <v>244</v>
      </c>
      <c r="E56" s="23" t="s">
        <v>245</v>
      </c>
      <c r="F56" s="23">
        <v>2023</v>
      </c>
      <c r="G56" s="23" t="s">
        <v>263</v>
      </c>
      <c r="H56" s="23" t="s">
        <v>66</v>
      </c>
      <c r="I56" s="23" t="s">
        <v>31</v>
      </c>
      <c r="J56" s="23" t="s">
        <v>246</v>
      </c>
      <c r="K56" s="23">
        <v>0</v>
      </c>
      <c r="L56" s="23">
        <v>0</v>
      </c>
      <c r="M56" s="23">
        <v>400</v>
      </c>
      <c r="N56" s="23">
        <v>600</v>
      </c>
      <c r="O56" s="23" t="s">
        <v>31</v>
      </c>
      <c r="P56" s="23" t="s">
        <v>247</v>
      </c>
      <c r="Q56" s="23" t="s">
        <v>248</v>
      </c>
      <c r="R56" s="23" t="s">
        <v>31</v>
      </c>
      <c r="S56" s="23" t="s">
        <v>31</v>
      </c>
      <c r="T56" s="23" t="s">
        <v>31</v>
      </c>
      <c r="U56" s="23" t="s">
        <v>31</v>
      </c>
      <c r="V56" s="23" t="s">
        <v>31</v>
      </c>
      <c r="W56" s="23" t="s">
        <v>31</v>
      </c>
      <c r="X56" s="23" t="s">
        <v>31</v>
      </c>
      <c r="Y56" s="23" t="s">
        <v>269</v>
      </c>
    </row>
    <row r="57" spans="1:25" hidden="1" x14ac:dyDescent="0.25">
      <c r="A57" s="24" t="s">
        <v>241</v>
      </c>
      <c r="B57" s="23" t="s">
        <v>242</v>
      </c>
      <c r="C57" s="23" t="s">
        <v>243</v>
      </c>
      <c r="D57" s="23" t="s">
        <v>244</v>
      </c>
      <c r="E57" s="23" t="s">
        <v>245</v>
      </c>
      <c r="F57" s="23">
        <v>2023</v>
      </c>
      <c r="G57" s="23" t="s">
        <v>264</v>
      </c>
      <c r="H57" s="23" t="s">
        <v>66</v>
      </c>
      <c r="I57" s="23" t="s">
        <v>31</v>
      </c>
      <c r="J57" s="23" t="s">
        <v>246</v>
      </c>
      <c r="K57" s="23">
        <v>0</v>
      </c>
      <c r="L57" s="23">
        <v>0</v>
      </c>
      <c r="M57" s="23">
        <v>400</v>
      </c>
      <c r="N57" s="23">
        <v>600</v>
      </c>
      <c r="O57" s="23" t="s">
        <v>31</v>
      </c>
      <c r="P57" s="23" t="s">
        <v>247</v>
      </c>
      <c r="Q57" s="23" t="s">
        <v>248</v>
      </c>
      <c r="R57" s="23" t="s">
        <v>31</v>
      </c>
      <c r="S57" s="23" t="s">
        <v>31</v>
      </c>
      <c r="T57" s="23" t="s">
        <v>31</v>
      </c>
      <c r="U57" s="23" t="s">
        <v>31</v>
      </c>
      <c r="V57" s="23" t="s">
        <v>31</v>
      </c>
      <c r="W57" s="23" t="s">
        <v>31</v>
      </c>
      <c r="X57" s="23" t="s">
        <v>31</v>
      </c>
      <c r="Y57" s="23" t="s">
        <v>269</v>
      </c>
    </row>
    <row r="58" spans="1:25" hidden="1" x14ac:dyDescent="0.25">
      <c r="A58" s="24" t="s">
        <v>241</v>
      </c>
      <c r="B58" s="23" t="s">
        <v>242</v>
      </c>
      <c r="C58" s="23" t="s">
        <v>243</v>
      </c>
      <c r="D58" s="23" t="s">
        <v>244</v>
      </c>
      <c r="E58" s="23" t="s">
        <v>245</v>
      </c>
      <c r="F58" s="23">
        <v>2023</v>
      </c>
      <c r="G58" s="23" t="s">
        <v>68</v>
      </c>
      <c r="H58" s="23" t="s">
        <v>66</v>
      </c>
      <c r="I58" s="23" t="s">
        <v>31</v>
      </c>
      <c r="J58" s="23" t="s">
        <v>246</v>
      </c>
      <c r="K58" s="23">
        <v>0</v>
      </c>
      <c r="L58" s="23">
        <v>0</v>
      </c>
      <c r="M58" s="23">
        <v>400</v>
      </c>
      <c r="N58" s="23">
        <v>600</v>
      </c>
      <c r="O58" s="23" t="s">
        <v>31</v>
      </c>
      <c r="P58" s="23" t="s">
        <v>247</v>
      </c>
      <c r="Q58" s="23" t="s">
        <v>248</v>
      </c>
      <c r="R58" s="23" t="s">
        <v>31</v>
      </c>
      <c r="S58" s="23" t="s">
        <v>31</v>
      </c>
      <c r="T58" s="23" t="s">
        <v>31</v>
      </c>
      <c r="U58" s="23" t="s">
        <v>31</v>
      </c>
      <c r="V58" s="23" t="s">
        <v>31</v>
      </c>
      <c r="W58" s="23" t="s">
        <v>31</v>
      </c>
      <c r="X58" s="23" t="s">
        <v>31</v>
      </c>
      <c r="Y58" s="23" t="s">
        <v>269</v>
      </c>
    </row>
    <row r="59" spans="1:25" hidden="1" x14ac:dyDescent="0.25">
      <c r="A59" s="24" t="s">
        <v>241</v>
      </c>
      <c r="B59" s="23" t="s">
        <v>242</v>
      </c>
      <c r="C59" s="23" t="s">
        <v>243</v>
      </c>
      <c r="D59" s="23" t="s">
        <v>244</v>
      </c>
      <c r="E59" s="23" t="s">
        <v>245</v>
      </c>
      <c r="F59" s="23">
        <v>2023</v>
      </c>
      <c r="G59" s="25" t="s">
        <v>265</v>
      </c>
      <c r="H59" s="24" t="s">
        <v>266</v>
      </c>
      <c r="I59" s="23" t="s">
        <v>31</v>
      </c>
      <c r="J59" s="23" t="s">
        <v>246</v>
      </c>
      <c r="K59" s="23">
        <v>0</v>
      </c>
      <c r="L59" s="23">
        <v>0</v>
      </c>
      <c r="M59" s="23">
        <v>400</v>
      </c>
      <c r="N59" s="23">
        <v>600</v>
      </c>
      <c r="O59" s="23" t="s">
        <v>31</v>
      </c>
      <c r="P59" s="23" t="s">
        <v>247</v>
      </c>
      <c r="Q59" s="23" t="s">
        <v>248</v>
      </c>
      <c r="R59" s="23" t="s">
        <v>31</v>
      </c>
      <c r="S59" s="23" t="s">
        <v>31</v>
      </c>
      <c r="T59" s="23" t="s">
        <v>31</v>
      </c>
      <c r="U59" s="23" t="s">
        <v>31</v>
      </c>
      <c r="V59" s="23" t="s">
        <v>31</v>
      </c>
      <c r="W59" s="23" t="s">
        <v>31</v>
      </c>
      <c r="X59" s="23" t="s">
        <v>31</v>
      </c>
      <c r="Y59" s="23" t="s">
        <v>269</v>
      </c>
    </row>
    <row r="60" spans="1:25" hidden="1" x14ac:dyDescent="0.25">
      <c r="A60" s="24" t="s">
        <v>241</v>
      </c>
      <c r="B60" s="23" t="s">
        <v>242</v>
      </c>
      <c r="C60" s="23" t="s">
        <v>243</v>
      </c>
      <c r="D60" s="23" t="s">
        <v>244</v>
      </c>
      <c r="E60" s="23" t="s">
        <v>245</v>
      </c>
      <c r="F60" s="23">
        <v>2023</v>
      </c>
      <c r="G60" s="204" t="s">
        <v>267</v>
      </c>
      <c r="H60" s="24" t="s">
        <v>57</v>
      </c>
      <c r="I60" s="23" t="s">
        <v>31</v>
      </c>
      <c r="J60" s="23" t="s">
        <v>246</v>
      </c>
      <c r="K60" s="23">
        <v>0</v>
      </c>
      <c r="L60" s="23">
        <v>0</v>
      </c>
      <c r="M60" s="23">
        <v>400</v>
      </c>
      <c r="N60" s="23">
        <v>600</v>
      </c>
      <c r="O60" s="23" t="s">
        <v>31</v>
      </c>
      <c r="P60" s="23" t="s">
        <v>247</v>
      </c>
      <c r="Q60" s="23" t="s">
        <v>248</v>
      </c>
      <c r="R60" s="23" t="s">
        <v>31</v>
      </c>
      <c r="S60" s="23" t="s">
        <v>31</v>
      </c>
      <c r="T60" s="23" t="s">
        <v>31</v>
      </c>
      <c r="U60" s="23" t="s">
        <v>31</v>
      </c>
      <c r="V60" s="23" t="s">
        <v>31</v>
      </c>
      <c r="W60" s="23" t="s">
        <v>31</v>
      </c>
      <c r="X60" s="23" t="s">
        <v>31</v>
      </c>
      <c r="Y60" s="23" t="s">
        <v>269</v>
      </c>
    </row>
    <row r="61" spans="1:25" hidden="1" x14ac:dyDescent="0.25">
      <c r="A61" s="24" t="s">
        <v>241</v>
      </c>
      <c r="B61" s="23" t="s">
        <v>242</v>
      </c>
      <c r="C61" s="23" t="s">
        <v>243</v>
      </c>
      <c r="D61" s="23" t="s">
        <v>244</v>
      </c>
      <c r="E61" s="23" t="s">
        <v>245</v>
      </c>
      <c r="F61" s="23">
        <v>2023</v>
      </c>
      <c r="G61" s="26" t="s">
        <v>71</v>
      </c>
      <c r="H61" s="24" t="s">
        <v>57</v>
      </c>
      <c r="I61" s="23" t="s">
        <v>31</v>
      </c>
      <c r="J61" s="23" t="s">
        <v>246</v>
      </c>
      <c r="K61" s="23">
        <v>0</v>
      </c>
      <c r="L61" s="23">
        <v>0</v>
      </c>
      <c r="M61" s="23">
        <v>400</v>
      </c>
      <c r="N61" s="23">
        <v>600</v>
      </c>
      <c r="O61" s="23" t="s">
        <v>31</v>
      </c>
      <c r="P61" s="23" t="s">
        <v>247</v>
      </c>
      <c r="Q61" s="23" t="s">
        <v>248</v>
      </c>
      <c r="R61" s="23" t="s">
        <v>31</v>
      </c>
      <c r="S61" s="23" t="s">
        <v>31</v>
      </c>
      <c r="T61" s="23" t="s">
        <v>31</v>
      </c>
      <c r="U61" s="23" t="s">
        <v>31</v>
      </c>
      <c r="V61" s="23" t="s">
        <v>31</v>
      </c>
      <c r="W61" s="23" t="s">
        <v>31</v>
      </c>
      <c r="X61" s="23" t="s">
        <v>31</v>
      </c>
      <c r="Y61" s="23" t="s">
        <v>269</v>
      </c>
    </row>
    <row r="62" spans="1:25" hidden="1" x14ac:dyDescent="0.25">
      <c r="A62" s="24" t="s">
        <v>241</v>
      </c>
      <c r="B62" s="23" t="s">
        <v>242</v>
      </c>
      <c r="C62" s="23" t="s">
        <v>243</v>
      </c>
      <c r="D62" s="23" t="s">
        <v>244</v>
      </c>
      <c r="E62" s="23" t="s">
        <v>245</v>
      </c>
      <c r="F62" s="23">
        <v>2023</v>
      </c>
      <c r="G62" s="26" t="s">
        <v>123</v>
      </c>
      <c r="H62" s="24" t="s">
        <v>66</v>
      </c>
      <c r="I62" s="23" t="s">
        <v>31</v>
      </c>
      <c r="J62" s="23" t="s">
        <v>246</v>
      </c>
      <c r="K62" s="23">
        <v>0</v>
      </c>
      <c r="L62" s="23">
        <v>0</v>
      </c>
      <c r="M62" s="23">
        <v>400</v>
      </c>
      <c r="N62" s="23">
        <v>600</v>
      </c>
      <c r="O62" s="23" t="s">
        <v>31</v>
      </c>
      <c r="P62" s="23" t="s">
        <v>247</v>
      </c>
      <c r="Q62" s="23" t="s">
        <v>248</v>
      </c>
      <c r="R62" s="23" t="s">
        <v>31</v>
      </c>
      <c r="S62" s="23" t="s">
        <v>31</v>
      </c>
      <c r="T62" s="23" t="s">
        <v>31</v>
      </c>
      <c r="U62" s="23" t="s">
        <v>31</v>
      </c>
      <c r="V62" s="23" t="s">
        <v>31</v>
      </c>
      <c r="W62" s="23" t="s">
        <v>31</v>
      </c>
      <c r="X62" s="23" t="s">
        <v>31</v>
      </c>
      <c r="Y62" s="23" t="s">
        <v>269</v>
      </c>
    </row>
    <row r="63" spans="1:25" hidden="1" x14ac:dyDescent="0.25">
      <c r="A63" s="24" t="s">
        <v>241</v>
      </c>
      <c r="B63" s="23" t="s">
        <v>242</v>
      </c>
      <c r="C63" s="23" t="s">
        <v>243</v>
      </c>
      <c r="D63" s="23" t="s">
        <v>244</v>
      </c>
      <c r="E63" s="23" t="s">
        <v>245</v>
      </c>
      <c r="F63" s="23">
        <v>2023</v>
      </c>
      <c r="G63" s="26" t="s">
        <v>256</v>
      </c>
      <c r="H63" s="24" t="s">
        <v>135</v>
      </c>
      <c r="I63" s="23" t="s">
        <v>31</v>
      </c>
      <c r="J63" s="23" t="s">
        <v>246</v>
      </c>
      <c r="K63" s="23">
        <v>0</v>
      </c>
      <c r="L63" s="23">
        <v>0</v>
      </c>
      <c r="M63" s="23">
        <v>400</v>
      </c>
      <c r="N63" s="23">
        <v>600</v>
      </c>
      <c r="O63" s="23" t="s">
        <v>31</v>
      </c>
      <c r="P63" s="23" t="s">
        <v>247</v>
      </c>
      <c r="Q63" s="23" t="s">
        <v>248</v>
      </c>
      <c r="R63" s="23" t="s">
        <v>31</v>
      </c>
      <c r="S63" s="23" t="s">
        <v>31</v>
      </c>
      <c r="T63" s="23" t="s">
        <v>31</v>
      </c>
      <c r="U63" s="23" t="s">
        <v>31</v>
      </c>
      <c r="V63" s="23" t="s">
        <v>31</v>
      </c>
      <c r="W63" s="23" t="s">
        <v>31</v>
      </c>
      <c r="X63" s="23" t="s">
        <v>31</v>
      </c>
      <c r="Y63" s="23" t="s">
        <v>269</v>
      </c>
    </row>
    <row r="64" spans="1:25" hidden="1" x14ac:dyDescent="0.25">
      <c r="A64" s="24" t="s">
        <v>241</v>
      </c>
      <c r="B64" s="23" t="s">
        <v>242</v>
      </c>
      <c r="C64" s="23" t="s">
        <v>243</v>
      </c>
      <c r="D64" s="23" t="s">
        <v>244</v>
      </c>
      <c r="E64" s="23" t="s">
        <v>245</v>
      </c>
      <c r="F64" s="23">
        <v>2023</v>
      </c>
      <c r="G64" s="26" t="s">
        <v>132</v>
      </c>
      <c r="H64" s="24" t="s">
        <v>66</v>
      </c>
      <c r="I64" s="23" t="s">
        <v>31</v>
      </c>
      <c r="J64" s="23" t="s">
        <v>246</v>
      </c>
      <c r="K64" s="23">
        <v>0</v>
      </c>
      <c r="L64" s="23">
        <v>0</v>
      </c>
      <c r="M64" s="23">
        <v>400</v>
      </c>
      <c r="N64" s="23">
        <v>600</v>
      </c>
      <c r="O64" s="23" t="s">
        <v>31</v>
      </c>
      <c r="P64" s="23" t="s">
        <v>247</v>
      </c>
      <c r="Q64" s="23" t="s">
        <v>248</v>
      </c>
      <c r="R64" s="23" t="s">
        <v>31</v>
      </c>
      <c r="S64" s="23" t="s">
        <v>31</v>
      </c>
      <c r="T64" s="23" t="s">
        <v>31</v>
      </c>
      <c r="U64" s="23" t="s">
        <v>31</v>
      </c>
      <c r="V64" s="23" t="s">
        <v>31</v>
      </c>
      <c r="W64" s="23" t="s">
        <v>31</v>
      </c>
      <c r="X64" s="23" t="s">
        <v>31</v>
      </c>
      <c r="Y64" s="23" t="s">
        <v>269</v>
      </c>
    </row>
    <row r="65" spans="1:25" hidden="1" x14ac:dyDescent="0.25">
      <c r="A65" s="24" t="s">
        <v>241</v>
      </c>
      <c r="B65" s="23" t="s">
        <v>242</v>
      </c>
      <c r="C65" s="23" t="s">
        <v>243</v>
      </c>
      <c r="D65" s="23" t="s">
        <v>244</v>
      </c>
      <c r="E65" s="23" t="s">
        <v>245</v>
      </c>
      <c r="F65" s="23">
        <v>2023</v>
      </c>
      <c r="G65" s="26" t="s">
        <v>96</v>
      </c>
      <c r="H65" s="24" t="s">
        <v>64</v>
      </c>
      <c r="I65" s="23" t="s">
        <v>31</v>
      </c>
      <c r="J65" s="23" t="s">
        <v>246</v>
      </c>
      <c r="K65" s="23">
        <v>0</v>
      </c>
      <c r="L65" s="23">
        <v>0</v>
      </c>
      <c r="M65" s="23">
        <v>400</v>
      </c>
      <c r="N65" s="23">
        <v>600</v>
      </c>
      <c r="O65" s="23" t="s">
        <v>31</v>
      </c>
      <c r="P65" s="23" t="s">
        <v>247</v>
      </c>
      <c r="Q65" s="23" t="s">
        <v>248</v>
      </c>
      <c r="R65" s="23" t="s">
        <v>31</v>
      </c>
      <c r="S65" s="23" t="s">
        <v>31</v>
      </c>
      <c r="T65" s="23" t="s">
        <v>31</v>
      </c>
      <c r="U65" s="23" t="s">
        <v>31</v>
      </c>
      <c r="V65" s="23" t="s">
        <v>31</v>
      </c>
      <c r="W65" s="23" t="s">
        <v>31</v>
      </c>
      <c r="X65" s="23" t="s">
        <v>31</v>
      </c>
      <c r="Y65" s="23" t="s">
        <v>269</v>
      </c>
    </row>
    <row r="66" spans="1:25" hidden="1" x14ac:dyDescent="0.25">
      <c r="A66" s="24" t="s">
        <v>241</v>
      </c>
      <c r="B66" s="23" t="s">
        <v>242</v>
      </c>
      <c r="C66" s="23" t="s">
        <v>243</v>
      </c>
      <c r="D66" s="23" t="s">
        <v>244</v>
      </c>
      <c r="E66" s="23" t="s">
        <v>245</v>
      </c>
      <c r="F66" s="23">
        <v>2023</v>
      </c>
      <c r="G66" s="26" t="s">
        <v>268</v>
      </c>
      <c r="H66" s="24" t="s">
        <v>64</v>
      </c>
      <c r="I66" s="23" t="s">
        <v>31</v>
      </c>
      <c r="J66" s="23" t="s">
        <v>246</v>
      </c>
      <c r="K66" s="23">
        <v>0</v>
      </c>
      <c r="L66" s="23">
        <v>0</v>
      </c>
      <c r="M66" s="23">
        <v>400</v>
      </c>
      <c r="N66" s="23">
        <v>600</v>
      </c>
      <c r="O66" s="23" t="s">
        <v>31</v>
      </c>
      <c r="P66" s="23" t="s">
        <v>247</v>
      </c>
      <c r="Q66" s="23" t="s">
        <v>248</v>
      </c>
      <c r="R66" s="23" t="s">
        <v>31</v>
      </c>
      <c r="S66" s="23" t="s">
        <v>31</v>
      </c>
      <c r="T66" s="23" t="s">
        <v>31</v>
      </c>
      <c r="U66" s="23" t="s">
        <v>31</v>
      </c>
      <c r="V66" s="23" t="s">
        <v>31</v>
      </c>
      <c r="W66" s="23" t="s">
        <v>31</v>
      </c>
      <c r="X66" s="23" t="s">
        <v>31</v>
      </c>
      <c r="Y66" s="23" t="s">
        <v>269</v>
      </c>
    </row>
    <row r="67" spans="1:25" hidden="1" x14ac:dyDescent="0.25">
      <c r="A67" s="24" t="s">
        <v>241</v>
      </c>
      <c r="B67" s="23" t="s">
        <v>242</v>
      </c>
      <c r="C67" s="23" t="s">
        <v>243</v>
      </c>
      <c r="D67" s="23" t="s">
        <v>244</v>
      </c>
      <c r="E67" s="23" t="s">
        <v>245</v>
      </c>
      <c r="F67" s="23">
        <v>2023</v>
      </c>
      <c r="G67" s="26" t="s">
        <v>169</v>
      </c>
      <c r="H67" s="24" t="s">
        <v>51</v>
      </c>
      <c r="I67" s="23" t="s">
        <v>31</v>
      </c>
      <c r="J67" s="23" t="s">
        <v>246</v>
      </c>
      <c r="K67" s="23">
        <v>0</v>
      </c>
      <c r="L67" s="23">
        <v>0</v>
      </c>
      <c r="M67" s="23">
        <v>400</v>
      </c>
      <c r="N67" s="23">
        <v>600</v>
      </c>
      <c r="O67" s="23" t="s">
        <v>31</v>
      </c>
      <c r="P67" s="23" t="s">
        <v>247</v>
      </c>
      <c r="Q67" s="23" t="s">
        <v>248</v>
      </c>
      <c r="R67" s="23" t="s">
        <v>31</v>
      </c>
      <c r="S67" s="23" t="s">
        <v>31</v>
      </c>
      <c r="T67" s="23" t="s">
        <v>31</v>
      </c>
      <c r="U67" s="23" t="s">
        <v>31</v>
      </c>
      <c r="V67" s="23" t="s">
        <v>31</v>
      </c>
      <c r="W67" s="23" t="s">
        <v>31</v>
      </c>
      <c r="X67" s="23" t="s">
        <v>31</v>
      </c>
      <c r="Y67" s="23" t="s">
        <v>269</v>
      </c>
    </row>
    <row r="68" spans="1:25" x14ac:dyDescent="0.25">
      <c r="A68" s="24" t="s">
        <v>241</v>
      </c>
      <c r="B68" s="23" t="s">
        <v>242</v>
      </c>
      <c r="C68" s="23" t="s">
        <v>243</v>
      </c>
      <c r="D68" s="23" t="s">
        <v>244</v>
      </c>
      <c r="E68" s="23" t="s">
        <v>245</v>
      </c>
      <c r="F68" s="23">
        <v>2023</v>
      </c>
      <c r="G68" s="26" t="s">
        <v>46</v>
      </c>
      <c r="H68" s="24" t="s">
        <v>150</v>
      </c>
      <c r="I68" s="23" t="s">
        <v>31</v>
      </c>
      <c r="J68" s="23" t="s">
        <v>246</v>
      </c>
      <c r="K68" s="23">
        <v>0</v>
      </c>
      <c r="L68" s="23">
        <v>0</v>
      </c>
      <c r="M68" s="23">
        <v>400</v>
      </c>
      <c r="N68" s="23">
        <v>600</v>
      </c>
      <c r="O68" s="23" t="s">
        <v>31</v>
      </c>
      <c r="P68" s="23" t="s">
        <v>247</v>
      </c>
      <c r="Q68" s="23" t="s">
        <v>248</v>
      </c>
      <c r="R68" s="23" t="s">
        <v>31</v>
      </c>
      <c r="S68" s="23" t="s">
        <v>31</v>
      </c>
      <c r="T68" s="23" t="s">
        <v>31</v>
      </c>
      <c r="U68" s="23" t="s">
        <v>31</v>
      </c>
      <c r="V68" s="23" t="s">
        <v>31</v>
      </c>
      <c r="W68" s="23" t="s">
        <v>31</v>
      </c>
      <c r="X68" s="23" t="s">
        <v>31</v>
      </c>
      <c r="Y68" s="23" t="s">
        <v>269</v>
      </c>
    </row>
    <row r="69" spans="1:25" hidden="1" x14ac:dyDescent="0.25">
      <c r="A69" s="24" t="s">
        <v>241</v>
      </c>
      <c r="B69" s="23" t="s">
        <v>242</v>
      </c>
      <c r="C69" s="23" t="s">
        <v>243</v>
      </c>
      <c r="D69" s="23" t="s">
        <v>244</v>
      </c>
      <c r="E69" s="23" t="s">
        <v>245</v>
      </c>
      <c r="F69" s="23">
        <v>2023</v>
      </c>
      <c r="G69" s="26" t="s">
        <v>274</v>
      </c>
      <c r="H69" s="24" t="s">
        <v>57</v>
      </c>
      <c r="I69" s="23" t="s">
        <v>31</v>
      </c>
      <c r="J69" s="23" t="s">
        <v>275</v>
      </c>
      <c r="K69" s="23">
        <v>2</v>
      </c>
      <c r="L69" s="23">
        <v>2</v>
      </c>
      <c r="M69" s="29">
        <v>3800</v>
      </c>
      <c r="N69" s="29">
        <v>4100</v>
      </c>
      <c r="O69" s="23" t="s">
        <v>31</v>
      </c>
      <c r="P69" s="23" t="s">
        <v>247</v>
      </c>
      <c r="Q69" s="23" t="s">
        <v>276</v>
      </c>
      <c r="R69" s="23" t="s">
        <v>31</v>
      </c>
      <c r="S69" s="23" t="s">
        <v>31</v>
      </c>
      <c r="T69" s="23" t="s">
        <v>31</v>
      </c>
      <c r="U69" s="23" t="s">
        <v>31</v>
      </c>
      <c r="V69" s="23" t="s">
        <v>31</v>
      </c>
      <c r="W69" s="23" t="s">
        <v>31</v>
      </c>
      <c r="X69" s="23" t="s">
        <v>31</v>
      </c>
      <c r="Y69" s="23" t="s">
        <v>277</v>
      </c>
    </row>
    <row r="70" spans="1:25" hidden="1" x14ac:dyDescent="0.25">
      <c r="A70" s="24" t="s">
        <v>241</v>
      </c>
      <c r="B70" s="23" t="s">
        <v>242</v>
      </c>
      <c r="C70" s="23" t="s">
        <v>278</v>
      </c>
      <c r="D70" s="23" t="s">
        <v>244</v>
      </c>
      <c r="E70" s="23" t="s">
        <v>245</v>
      </c>
      <c r="F70" s="23">
        <v>2023</v>
      </c>
      <c r="G70" s="26" t="s">
        <v>274</v>
      </c>
      <c r="H70" s="24" t="s">
        <v>57</v>
      </c>
      <c r="I70" s="23" t="s">
        <v>31</v>
      </c>
      <c r="J70" s="23" t="s">
        <v>246</v>
      </c>
      <c r="K70" s="23" t="s">
        <v>31</v>
      </c>
      <c r="L70" s="23">
        <v>2</v>
      </c>
      <c r="M70" s="29">
        <v>1500</v>
      </c>
      <c r="N70" s="29">
        <v>2000</v>
      </c>
      <c r="O70" s="23" t="s">
        <v>31</v>
      </c>
      <c r="P70" s="23" t="s">
        <v>247</v>
      </c>
      <c r="Q70" s="23" t="s">
        <v>279</v>
      </c>
      <c r="R70" s="23" t="s">
        <v>31</v>
      </c>
      <c r="S70" s="23" t="s">
        <v>31</v>
      </c>
      <c r="T70" s="23" t="s">
        <v>31</v>
      </c>
      <c r="U70" s="23" t="s">
        <v>31</v>
      </c>
      <c r="V70" s="23" t="s">
        <v>31</v>
      </c>
      <c r="W70" s="23" t="s">
        <v>31</v>
      </c>
      <c r="X70" s="23" t="s">
        <v>31</v>
      </c>
      <c r="Y70" s="23" t="s">
        <v>280</v>
      </c>
    </row>
    <row r="71" spans="1:25" hidden="1" x14ac:dyDescent="0.25">
      <c r="A71" s="24" t="s">
        <v>241</v>
      </c>
      <c r="B71" s="23" t="s">
        <v>242</v>
      </c>
      <c r="C71" s="23" t="s">
        <v>243</v>
      </c>
      <c r="D71" s="23" t="s">
        <v>244</v>
      </c>
      <c r="E71" s="23" t="s">
        <v>245</v>
      </c>
      <c r="F71" s="23">
        <v>2023</v>
      </c>
      <c r="G71" s="26" t="s">
        <v>281</v>
      </c>
      <c r="H71" s="24" t="s">
        <v>57</v>
      </c>
      <c r="I71" s="23" t="s">
        <v>31</v>
      </c>
      <c r="J71" s="23" t="s">
        <v>275</v>
      </c>
      <c r="K71" s="23">
        <v>2</v>
      </c>
      <c r="L71" s="23">
        <v>2</v>
      </c>
      <c r="M71" s="29">
        <v>3800</v>
      </c>
      <c r="N71" s="29">
        <v>4100</v>
      </c>
      <c r="O71" s="23" t="s">
        <v>31</v>
      </c>
      <c r="P71" s="23" t="s">
        <v>247</v>
      </c>
      <c r="Q71" s="23" t="s">
        <v>276</v>
      </c>
      <c r="R71" s="23" t="s">
        <v>31</v>
      </c>
      <c r="S71" s="23" t="s">
        <v>31</v>
      </c>
      <c r="T71" s="23" t="s">
        <v>31</v>
      </c>
      <c r="U71" s="23" t="s">
        <v>31</v>
      </c>
      <c r="V71" s="23" t="s">
        <v>31</v>
      </c>
      <c r="W71" s="23" t="s">
        <v>31</v>
      </c>
      <c r="X71" s="23" t="s">
        <v>31</v>
      </c>
      <c r="Y71" s="23" t="s">
        <v>277</v>
      </c>
    </row>
    <row r="72" spans="1:25" hidden="1" x14ac:dyDescent="0.25">
      <c r="A72" s="24" t="s">
        <v>241</v>
      </c>
      <c r="B72" s="23" t="s">
        <v>242</v>
      </c>
      <c r="C72" s="23" t="s">
        <v>278</v>
      </c>
      <c r="D72" s="23" t="s">
        <v>244</v>
      </c>
      <c r="E72" s="23" t="s">
        <v>245</v>
      </c>
      <c r="F72" s="23">
        <v>2023</v>
      </c>
      <c r="G72" s="26" t="s">
        <v>281</v>
      </c>
      <c r="H72" s="24" t="s">
        <v>57</v>
      </c>
      <c r="I72" s="23" t="s">
        <v>31</v>
      </c>
      <c r="J72" s="23" t="s">
        <v>246</v>
      </c>
      <c r="K72" s="23" t="s">
        <v>31</v>
      </c>
      <c r="L72" s="23">
        <v>2</v>
      </c>
      <c r="M72" s="29">
        <v>1500</v>
      </c>
      <c r="N72" s="29">
        <v>2000</v>
      </c>
      <c r="O72" s="23" t="s">
        <v>31</v>
      </c>
      <c r="P72" s="23" t="s">
        <v>247</v>
      </c>
      <c r="Q72" s="23" t="s">
        <v>279</v>
      </c>
      <c r="R72" s="23" t="s">
        <v>31</v>
      </c>
      <c r="S72" s="23" t="s">
        <v>31</v>
      </c>
      <c r="T72" s="23" t="s">
        <v>31</v>
      </c>
      <c r="U72" s="23" t="s">
        <v>31</v>
      </c>
      <c r="V72" s="23" t="s">
        <v>31</v>
      </c>
      <c r="W72" s="23" t="s">
        <v>31</v>
      </c>
      <c r="X72" s="23" t="s">
        <v>31</v>
      </c>
      <c r="Y72" s="23" t="s">
        <v>280</v>
      </c>
    </row>
    <row r="73" spans="1:25" hidden="1" x14ac:dyDescent="0.25">
      <c r="A73" s="24" t="s">
        <v>241</v>
      </c>
      <c r="B73" s="23" t="s">
        <v>242</v>
      </c>
      <c r="C73" s="23" t="s">
        <v>243</v>
      </c>
      <c r="D73" s="23" t="s">
        <v>244</v>
      </c>
      <c r="E73" s="23" t="s">
        <v>245</v>
      </c>
      <c r="F73" s="23">
        <v>2023</v>
      </c>
      <c r="G73" s="26" t="s">
        <v>282</v>
      </c>
      <c r="H73" s="24" t="s">
        <v>57</v>
      </c>
      <c r="I73" s="23" t="s">
        <v>31</v>
      </c>
      <c r="J73" s="23" t="s">
        <v>275</v>
      </c>
      <c r="K73" s="23">
        <v>2</v>
      </c>
      <c r="L73" s="23">
        <v>2</v>
      </c>
      <c r="M73" s="29">
        <v>3800</v>
      </c>
      <c r="N73" s="29">
        <v>4100</v>
      </c>
      <c r="O73" s="23" t="s">
        <v>31</v>
      </c>
      <c r="P73" s="23" t="s">
        <v>247</v>
      </c>
      <c r="Q73" s="23" t="s">
        <v>276</v>
      </c>
      <c r="R73" s="23" t="s">
        <v>31</v>
      </c>
      <c r="S73" s="23" t="s">
        <v>31</v>
      </c>
      <c r="T73" s="23" t="s">
        <v>31</v>
      </c>
      <c r="U73" s="23" t="s">
        <v>31</v>
      </c>
      <c r="V73" s="23" t="s">
        <v>31</v>
      </c>
      <c r="W73" s="23" t="s">
        <v>31</v>
      </c>
      <c r="X73" s="23" t="s">
        <v>31</v>
      </c>
      <c r="Y73" s="23" t="s">
        <v>277</v>
      </c>
    </row>
    <row r="74" spans="1:25" hidden="1" x14ac:dyDescent="0.25">
      <c r="A74" s="24" t="s">
        <v>241</v>
      </c>
      <c r="B74" s="23" t="s">
        <v>242</v>
      </c>
      <c r="C74" s="23" t="s">
        <v>278</v>
      </c>
      <c r="D74" s="23" t="s">
        <v>244</v>
      </c>
      <c r="E74" s="23" t="s">
        <v>245</v>
      </c>
      <c r="F74" s="23">
        <v>2023</v>
      </c>
      <c r="G74" s="26" t="s">
        <v>282</v>
      </c>
      <c r="H74" s="24" t="s">
        <v>57</v>
      </c>
      <c r="I74" s="23" t="s">
        <v>31</v>
      </c>
      <c r="J74" s="23" t="s">
        <v>246</v>
      </c>
      <c r="K74" s="23" t="s">
        <v>31</v>
      </c>
      <c r="L74" s="23">
        <v>2</v>
      </c>
      <c r="M74" s="29">
        <v>1500</v>
      </c>
      <c r="N74" s="29">
        <v>2000</v>
      </c>
      <c r="O74" s="23" t="s">
        <v>31</v>
      </c>
      <c r="P74" s="23" t="s">
        <v>247</v>
      </c>
      <c r="Q74" s="23" t="s">
        <v>279</v>
      </c>
      <c r="R74" s="23" t="s">
        <v>31</v>
      </c>
      <c r="S74" s="23" t="s">
        <v>31</v>
      </c>
      <c r="T74" s="23" t="s">
        <v>31</v>
      </c>
      <c r="U74" s="23" t="s">
        <v>31</v>
      </c>
      <c r="V74" s="23" t="s">
        <v>31</v>
      </c>
      <c r="W74" s="23" t="s">
        <v>31</v>
      </c>
      <c r="X74" s="23" t="s">
        <v>31</v>
      </c>
      <c r="Y74" s="23" t="s">
        <v>280</v>
      </c>
    </row>
    <row r="75" spans="1:25" hidden="1" x14ac:dyDescent="0.25">
      <c r="A75" s="24" t="s">
        <v>241</v>
      </c>
      <c r="B75" s="23" t="s">
        <v>242</v>
      </c>
      <c r="C75" s="23" t="s">
        <v>243</v>
      </c>
      <c r="D75" s="23" t="s">
        <v>244</v>
      </c>
      <c r="E75" s="23" t="s">
        <v>245</v>
      </c>
      <c r="F75" s="23">
        <v>2023</v>
      </c>
      <c r="G75" s="26" t="s">
        <v>283</v>
      </c>
      <c r="H75" s="24" t="s">
        <v>57</v>
      </c>
      <c r="I75" s="23" t="s">
        <v>31</v>
      </c>
      <c r="J75" s="23" t="s">
        <v>275</v>
      </c>
      <c r="K75" s="23">
        <v>2</v>
      </c>
      <c r="L75" s="23">
        <v>2</v>
      </c>
      <c r="M75" s="29">
        <v>3800</v>
      </c>
      <c r="N75" s="29">
        <v>4100</v>
      </c>
      <c r="O75" s="23" t="s">
        <v>31</v>
      </c>
      <c r="P75" s="23" t="s">
        <v>247</v>
      </c>
      <c r="Q75" s="23" t="s">
        <v>276</v>
      </c>
      <c r="R75" s="23" t="s">
        <v>31</v>
      </c>
      <c r="S75" s="23" t="s">
        <v>31</v>
      </c>
      <c r="T75" s="23" t="s">
        <v>31</v>
      </c>
      <c r="U75" s="23" t="s">
        <v>31</v>
      </c>
      <c r="V75" s="23" t="s">
        <v>31</v>
      </c>
      <c r="W75" s="23" t="s">
        <v>31</v>
      </c>
      <c r="X75" s="23" t="s">
        <v>31</v>
      </c>
      <c r="Y75" s="23" t="s">
        <v>277</v>
      </c>
    </row>
    <row r="76" spans="1:25" hidden="1" x14ac:dyDescent="0.25">
      <c r="A76" s="24" t="s">
        <v>241</v>
      </c>
      <c r="B76" s="23" t="s">
        <v>242</v>
      </c>
      <c r="C76" s="23" t="s">
        <v>278</v>
      </c>
      <c r="D76" s="23" t="s">
        <v>244</v>
      </c>
      <c r="E76" s="23" t="s">
        <v>245</v>
      </c>
      <c r="F76" s="23">
        <v>2023</v>
      </c>
      <c r="G76" s="26" t="s">
        <v>283</v>
      </c>
      <c r="H76" s="24" t="s">
        <v>57</v>
      </c>
      <c r="I76" s="23" t="s">
        <v>31</v>
      </c>
      <c r="J76" s="23" t="s">
        <v>246</v>
      </c>
      <c r="K76" s="23" t="s">
        <v>31</v>
      </c>
      <c r="L76" s="23">
        <v>2</v>
      </c>
      <c r="M76" s="29">
        <v>1500</v>
      </c>
      <c r="N76" s="29">
        <v>2000</v>
      </c>
      <c r="O76" s="23" t="s">
        <v>31</v>
      </c>
      <c r="P76" s="23" t="s">
        <v>247</v>
      </c>
      <c r="Q76" s="23" t="s">
        <v>279</v>
      </c>
      <c r="R76" s="23" t="s">
        <v>31</v>
      </c>
      <c r="S76" s="23" t="s">
        <v>31</v>
      </c>
      <c r="T76" s="23" t="s">
        <v>31</v>
      </c>
      <c r="U76" s="23" t="s">
        <v>31</v>
      </c>
      <c r="V76" s="23" t="s">
        <v>31</v>
      </c>
      <c r="W76" s="23" t="s">
        <v>31</v>
      </c>
      <c r="X76" s="23" t="s">
        <v>31</v>
      </c>
      <c r="Y76" s="23" t="s">
        <v>280</v>
      </c>
    </row>
    <row r="77" spans="1:25" hidden="1" x14ac:dyDescent="0.25">
      <c r="A77" s="24" t="s">
        <v>241</v>
      </c>
      <c r="B77" s="23" t="s">
        <v>242</v>
      </c>
      <c r="C77" s="23" t="s">
        <v>243</v>
      </c>
      <c r="D77" s="23" t="s">
        <v>244</v>
      </c>
      <c r="E77" s="23" t="s">
        <v>245</v>
      </c>
      <c r="F77" s="23">
        <v>2023</v>
      </c>
      <c r="G77" s="26" t="s">
        <v>104</v>
      </c>
      <c r="H77" s="24" t="s">
        <v>57</v>
      </c>
      <c r="I77" s="23" t="s">
        <v>31</v>
      </c>
      <c r="J77" s="23" t="s">
        <v>275</v>
      </c>
      <c r="K77" s="23">
        <v>2</v>
      </c>
      <c r="L77" s="23">
        <v>2</v>
      </c>
      <c r="M77" s="29">
        <v>3800</v>
      </c>
      <c r="N77" s="29">
        <v>4100</v>
      </c>
      <c r="O77" s="23" t="s">
        <v>31</v>
      </c>
      <c r="P77" s="23" t="s">
        <v>247</v>
      </c>
      <c r="Q77" s="23" t="s">
        <v>276</v>
      </c>
      <c r="R77" s="23" t="s">
        <v>31</v>
      </c>
      <c r="S77" s="23" t="s">
        <v>31</v>
      </c>
      <c r="T77" s="23" t="s">
        <v>31</v>
      </c>
      <c r="U77" s="23" t="s">
        <v>31</v>
      </c>
      <c r="V77" s="23" t="s">
        <v>31</v>
      </c>
      <c r="W77" s="23" t="s">
        <v>31</v>
      </c>
      <c r="X77" s="23" t="s">
        <v>31</v>
      </c>
      <c r="Y77" s="23" t="s">
        <v>277</v>
      </c>
    </row>
    <row r="78" spans="1:25" hidden="1" x14ac:dyDescent="0.25">
      <c r="A78" s="24" t="s">
        <v>241</v>
      </c>
      <c r="B78" s="23" t="s">
        <v>242</v>
      </c>
      <c r="C78" s="23" t="s">
        <v>278</v>
      </c>
      <c r="D78" s="23" t="s">
        <v>244</v>
      </c>
      <c r="E78" s="23" t="s">
        <v>245</v>
      </c>
      <c r="F78" s="23">
        <v>2023</v>
      </c>
      <c r="G78" s="26" t="s">
        <v>104</v>
      </c>
      <c r="H78" s="24" t="s">
        <v>57</v>
      </c>
      <c r="I78" s="23" t="s">
        <v>31</v>
      </c>
      <c r="J78" s="23" t="s">
        <v>246</v>
      </c>
      <c r="K78" s="23" t="s">
        <v>31</v>
      </c>
      <c r="L78" s="23">
        <v>2</v>
      </c>
      <c r="M78" s="29">
        <v>3300</v>
      </c>
      <c r="N78" s="29">
        <v>4100</v>
      </c>
      <c r="O78" s="23" t="s">
        <v>31</v>
      </c>
      <c r="P78" s="23" t="s">
        <v>247</v>
      </c>
      <c r="Q78" s="23" t="s">
        <v>276</v>
      </c>
      <c r="R78" s="23" t="s">
        <v>31</v>
      </c>
      <c r="S78" s="23" t="s">
        <v>31</v>
      </c>
      <c r="T78" s="23" t="s">
        <v>31</v>
      </c>
      <c r="U78" s="23" t="s">
        <v>31</v>
      </c>
      <c r="V78" s="23" t="s">
        <v>31</v>
      </c>
      <c r="W78" s="23" t="s">
        <v>31</v>
      </c>
      <c r="X78" s="23" t="s">
        <v>31</v>
      </c>
      <c r="Y78" s="23" t="s">
        <v>284</v>
      </c>
    </row>
    <row r="79" spans="1:25" hidden="1" x14ac:dyDescent="0.25">
      <c r="A79" s="24" t="s">
        <v>241</v>
      </c>
      <c r="B79" s="23" t="s">
        <v>242</v>
      </c>
      <c r="C79" s="23" t="s">
        <v>243</v>
      </c>
      <c r="D79" s="23" t="s">
        <v>244</v>
      </c>
      <c r="E79" s="23" t="s">
        <v>245</v>
      </c>
      <c r="F79" s="23">
        <v>2023</v>
      </c>
      <c r="G79" s="26" t="s">
        <v>285</v>
      </c>
      <c r="H79" s="24" t="s">
        <v>57</v>
      </c>
      <c r="I79" s="23" t="s">
        <v>31</v>
      </c>
      <c r="J79" s="23" t="s">
        <v>246</v>
      </c>
      <c r="K79" s="23">
        <v>0</v>
      </c>
      <c r="L79" s="23">
        <v>0</v>
      </c>
      <c r="M79" s="23">
        <v>400</v>
      </c>
      <c r="N79" s="23">
        <v>600</v>
      </c>
      <c r="O79" s="23" t="s">
        <v>31</v>
      </c>
      <c r="P79" s="23" t="s">
        <v>247</v>
      </c>
      <c r="Q79" s="23" t="s">
        <v>248</v>
      </c>
      <c r="R79" s="23" t="s">
        <v>31</v>
      </c>
      <c r="S79" s="23" t="s">
        <v>31</v>
      </c>
      <c r="T79" s="23" t="s">
        <v>31</v>
      </c>
      <c r="U79" s="23" t="s">
        <v>31</v>
      </c>
      <c r="V79" s="23" t="s">
        <v>31</v>
      </c>
      <c r="W79" s="23" t="s">
        <v>31</v>
      </c>
      <c r="X79" s="23" t="s">
        <v>31</v>
      </c>
      <c r="Y79" s="23" t="s">
        <v>269</v>
      </c>
    </row>
    <row r="80" spans="1:25" hidden="1" x14ac:dyDescent="0.25">
      <c r="A80" s="24" t="s">
        <v>241</v>
      </c>
      <c r="B80" s="23" t="s">
        <v>242</v>
      </c>
      <c r="C80" s="23" t="s">
        <v>243</v>
      </c>
      <c r="D80" s="23" t="s">
        <v>244</v>
      </c>
      <c r="E80" s="23" t="s">
        <v>245</v>
      </c>
      <c r="F80" s="23">
        <v>2023</v>
      </c>
      <c r="G80" s="26" t="s">
        <v>286</v>
      </c>
      <c r="H80" s="24" t="s">
        <v>57</v>
      </c>
      <c r="I80" s="23" t="s">
        <v>31</v>
      </c>
      <c r="J80" s="23" t="s">
        <v>246</v>
      </c>
      <c r="K80" s="23">
        <v>0</v>
      </c>
      <c r="L80" s="23">
        <v>0</v>
      </c>
      <c r="M80" s="23">
        <v>400</v>
      </c>
      <c r="N80" s="23">
        <v>600</v>
      </c>
      <c r="O80" s="23" t="s">
        <v>31</v>
      </c>
      <c r="P80" s="23" t="s">
        <v>247</v>
      </c>
      <c r="Q80" s="23" t="s">
        <v>248</v>
      </c>
      <c r="R80" s="23" t="s">
        <v>31</v>
      </c>
      <c r="S80" s="23" t="s">
        <v>31</v>
      </c>
      <c r="T80" s="23" t="s">
        <v>31</v>
      </c>
      <c r="U80" s="23" t="s">
        <v>31</v>
      </c>
      <c r="V80" s="23" t="s">
        <v>31</v>
      </c>
      <c r="W80" s="23" t="s">
        <v>31</v>
      </c>
      <c r="X80" s="23" t="s">
        <v>31</v>
      </c>
      <c r="Y80" s="23" t="s">
        <v>269</v>
      </c>
    </row>
    <row r="81" spans="1:25" hidden="1" x14ac:dyDescent="0.25">
      <c r="A81" s="24" t="s">
        <v>241</v>
      </c>
      <c r="B81" s="23" t="s">
        <v>242</v>
      </c>
      <c r="C81" s="23" t="s">
        <v>243</v>
      </c>
      <c r="D81" s="23" t="s">
        <v>244</v>
      </c>
      <c r="E81" s="23" t="s">
        <v>245</v>
      </c>
      <c r="F81" s="23">
        <v>2023</v>
      </c>
      <c r="G81" s="26" t="s">
        <v>287</v>
      </c>
      <c r="H81" s="24" t="s">
        <v>57</v>
      </c>
      <c r="I81" s="23" t="s">
        <v>31</v>
      </c>
      <c r="J81" s="23" t="s">
        <v>275</v>
      </c>
      <c r="K81" s="23">
        <v>2</v>
      </c>
      <c r="L81" s="23">
        <v>2</v>
      </c>
      <c r="M81" s="29">
        <v>3800</v>
      </c>
      <c r="N81" s="29">
        <v>4100</v>
      </c>
      <c r="O81" s="23" t="s">
        <v>31</v>
      </c>
      <c r="P81" s="23" t="s">
        <v>247</v>
      </c>
      <c r="Q81" s="23" t="s">
        <v>276</v>
      </c>
      <c r="R81" s="23" t="s">
        <v>31</v>
      </c>
      <c r="S81" s="23" t="s">
        <v>31</v>
      </c>
      <c r="T81" s="23" t="s">
        <v>31</v>
      </c>
      <c r="U81" s="23" t="s">
        <v>31</v>
      </c>
      <c r="V81" s="23" t="s">
        <v>31</v>
      </c>
      <c r="W81" s="23" t="s">
        <v>31</v>
      </c>
      <c r="X81" s="23" t="s">
        <v>31</v>
      </c>
      <c r="Y81" s="23" t="s">
        <v>277</v>
      </c>
    </row>
    <row r="82" spans="1:25" hidden="1" x14ac:dyDescent="0.25">
      <c r="A82" s="24" t="s">
        <v>241</v>
      </c>
      <c r="B82" s="23" t="s">
        <v>242</v>
      </c>
      <c r="C82" s="23" t="s">
        <v>278</v>
      </c>
      <c r="D82" s="23" t="s">
        <v>244</v>
      </c>
      <c r="E82" s="23" t="s">
        <v>245</v>
      </c>
      <c r="F82" s="23">
        <v>2023</v>
      </c>
      <c r="G82" s="26" t="s">
        <v>287</v>
      </c>
      <c r="H82" s="24" t="s">
        <v>57</v>
      </c>
      <c r="I82" s="23" t="s">
        <v>31</v>
      </c>
      <c r="J82" s="23" t="s">
        <v>246</v>
      </c>
      <c r="K82" s="23" t="s">
        <v>31</v>
      </c>
      <c r="L82" s="23">
        <v>2</v>
      </c>
      <c r="M82" s="29">
        <v>1500</v>
      </c>
      <c r="N82" s="29">
        <v>2000</v>
      </c>
      <c r="O82" s="23" t="s">
        <v>31</v>
      </c>
      <c r="P82" s="23" t="s">
        <v>247</v>
      </c>
      <c r="Q82" s="23" t="s">
        <v>279</v>
      </c>
      <c r="R82" s="23" t="s">
        <v>31</v>
      </c>
      <c r="S82" s="23" t="s">
        <v>31</v>
      </c>
      <c r="T82" s="23" t="s">
        <v>31</v>
      </c>
      <c r="U82" s="23" t="s">
        <v>31</v>
      </c>
      <c r="V82" s="23" t="s">
        <v>31</v>
      </c>
      <c r="W82" s="23" t="s">
        <v>31</v>
      </c>
      <c r="X82" s="23" t="s">
        <v>31</v>
      </c>
      <c r="Y82" s="23" t="s">
        <v>280</v>
      </c>
    </row>
    <row r="83" spans="1:25" hidden="1" x14ac:dyDescent="0.25">
      <c r="A83" s="24" t="s">
        <v>241</v>
      </c>
      <c r="B83" s="23" t="s">
        <v>242</v>
      </c>
      <c r="C83" s="23" t="s">
        <v>243</v>
      </c>
      <c r="D83" s="23" t="s">
        <v>244</v>
      </c>
      <c r="E83" s="23" t="s">
        <v>245</v>
      </c>
      <c r="F83" s="23">
        <v>2023</v>
      </c>
      <c r="G83" s="26" t="s">
        <v>96</v>
      </c>
      <c r="H83" s="24" t="s">
        <v>57</v>
      </c>
      <c r="I83" s="23" t="s">
        <v>31</v>
      </c>
      <c r="J83" s="23" t="s">
        <v>246</v>
      </c>
      <c r="K83" s="23">
        <v>0</v>
      </c>
      <c r="L83" s="23">
        <v>0</v>
      </c>
      <c r="M83" s="23">
        <v>400</v>
      </c>
      <c r="N83" s="23">
        <v>600</v>
      </c>
      <c r="O83" s="23" t="s">
        <v>31</v>
      </c>
      <c r="P83" s="23" t="s">
        <v>247</v>
      </c>
      <c r="Q83" s="23" t="s">
        <v>248</v>
      </c>
      <c r="R83" s="23" t="s">
        <v>31</v>
      </c>
      <c r="S83" s="23" t="s">
        <v>31</v>
      </c>
      <c r="T83" s="23" t="s">
        <v>31</v>
      </c>
      <c r="U83" s="23" t="s">
        <v>31</v>
      </c>
      <c r="V83" s="23" t="s">
        <v>31</v>
      </c>
      <c r="W83" s="23" t="s">
        <v>31</v>
      </c>
      <c r="X83" s="23" t="s">
        <v>31</v>
      </c>
      <c r="Y83" s="23" t="s">
        <v>269</v>
      </c>
    </row>
    <row r="84" spans="1:25" hidden="1" x14ac:dyDescent="0.25">
      <c r="A84" s="24" t="s">
        <v>241</v>
      </c>
      <c r="B84" s="23" t="s">
        <v>242</v>
      </c>
      <c r="C84" s="23" t="s">
        <v>243</v>
      </c>
      <c r="D84" s="23" t="s">
        <v>244</v>
      </c>
      <c r="E84" s="23" t="s">
        <v>245</v>
      </c>
      <c r="F84" s="23">
        <v>2023</v>
      </c>
      <c r="G84" s="26" t="s">
        <v>89</v>
      </c>
      <c r="H84" s="24" t="s">
        <v>57</v>
      </c>
      <c r="I84" s="23" t="s">
        <v>31</v>
      </c>
      <c r="J84" s="23" t="s">
        <v>246</v>
      </c>
      <c r="K84" s="23">
        <v>0</v>
      </c>
      <c r="L84" s="23">
        <v>0</v>
      </c>
      <c r="M84" s="23">
        <v>400</v>
      </c>
      <c r="N84" s="23">
        <v>600</v>
      </c>
      <c r="O84" s="23" t="s">
        <v>31</v>
      </c>
      <c r="P84" s="23" t="s">
        <v>247</v>
      </c>
      <c r="Q84" s="23" t="s">
        <v>248</v>
      </c>
      <c r="R84" s="23" t="s">
        <v>31</v>
      </c>
      <c r="S84" s="23" t="s">
        <v>31</v>
      </c>
      <c r="T84" s="23" t="s">
        <v>31</v>
      </c>
      <c r="U84" s="23" t="s">
        <v>31</v>
      </c>
      <c r="V84" s="23" t="s">
        <v>31</v>
      </c>
      <c r="W84" s="23" t="s">
        <v>31</v>
      </c>
      <c r="X84" s="23" t="s">
        <v>31</v>
      </c>
      <c r="Y84" s="23" t="s">
        <v>269</v>
      </c>
    </row>
    <row r="85" spans="1:25" hidden="1" x14ac:dyDescent="0.25">
      <c r="A85" s="24" t="s">
        <v>241</v>
      </c>
      <c r="B85" s="23" t="s">
        <v>242</v>
      </c>
      <c r="C85" s="23" t="s">
        <v>243</v>
      </c>
      <c r="D85" s="23" t="s">
        <v>244</v>
      </c>
      <c r="E85" s="23" t="s">
        <v>245</v>
      </c>
      <c r="F85" s="23">
        <v>2023</v>
      </c>
      <c r="G85" s="26" t="s">
        <v>101</v>
      </c>
      <c r="H85" s="24" t="s">
        <v>57</v>
      </c>
      <c r="I85" s="23" t="s">
        <v>31</v>
      </c>
      <c r="J85" s="23" t="s">
        <v>246</v>
      </c>
      <c r="K85" s="23">
        <v>0</v>
      </c>
      <c r="L85" s="23">
        <v>0</v>
      </c>
      <c r="M85" s="23">
        <v>400</v>
      </c>
      <c r="N85" s="23">
        <v>600</v>
      </c>
      <c r="O85" s="23" t="s">
        <v>31</v>
      </c>
      <c r="P85" s="23" t="s">
        <v>247</v>
      </c>
      <c r="Q85" s="23" t="s">
        <v>248</v>
      </c>
      <c r="R85" s="23" t="s">
        <v>31</v>
      </c>
      <c r="S85" s="23" t="s">
        <v>31</v>
      </c>
      <c r="T85" s="23" t="s">
        <v>31</v>
      </c>
      <c r="U85" s="23" t="s">
        <v>31</v>
      </c>
      <c r="V85" s="23" t="s">
        <v>31</v>
      </c>
      <c r="W85" s="23" t="s">
        <v>31</v>
      </c>
      <c r="X85" s="23" t="s">
        <v>31</v>
      </c>
      <c r="Y85" s="23" t="s">
        <v>269</v>
      </c>
    </row>
    <row r="86" spans="1:25" x14ac:dyDescent="0.25">
      <c r="A86" s="24" t="s">
        <v>241</v>
      </c>
      <c r="B86" s="23" t="s">
        <v>242</v>
      </c>
      <c r="C86" s="23" t="s">
        <v>243</v>
      </c>
      <c r="D86" s="23" t="s">
        <v>244</v>
      </c>
      <c r="E86" s="23" t="s">
        <v>245</v>
      </c>
      <c r="F86" s="23">
        <v>2023</v>
      </c>
      <c r="G86" s="26" t="s">
        <v>46</v>
      </c>
      <c r="H86" s="24" t="s">
        <v>57</v>
      </c>
      <c r="I86" s="23" t="s">
        <v>31</v>
      </c>
      <c r="J86" s="23" t="s">
        <v>246</v>
      </c>
      <c r="K86" s="23">
        <v>0</v>
      </c>
      <c r="L86" s="23">
        <v>0</v>
      </c>
      <c r="M86" s="23">
        <v>400</v>
      </c>
      <c r="N86" s="23">
        <v>600</v>
      </c>
      <c r="O86" s="23" t="s">
        <v>31</v>
      </c>
      <c r="P86" s="23" t="s">
        <v>247</v>
      </c>
      <c r="Q86" s="23" t="s">
        <v>248</v>
      </c>
      <c r="R86" s="23" t="s">
        <v>31</v>
      </c>
      <c r="S86" s="23" t="s">
        <v>31</v>
      </c>
      <c r="T86" s="23" t="s">
        <v>31</v>
      </c>
      <c r="U86" s="23" t="s">
        <v>31</v>
      </c>
      <c r="V86" s="23" t="s">
        <v>31</v>
      </c>
      <c r="W86" s="23" t="s">
        <v>31</v>
      </c>
      <c r="X86" s="23" t="s">
        <v>31</v>
      </c>
      <c r="Y86" s="23" t="s">
        <v>269</v>
      </c>
    </row>
    <row r="87" spans="1:25" hidden="1" x14ac:dyDescent="0.25">
      <c r="A87" s="24" t="s">
        <v>241</v>
      </c>
      <c r="B87" s="23" t="s">
        <v>242</v>
      </c>
      <c r="C87" s="23" t="s">
        <v>243</v>
      </c>
      <c r="D87" s="23" t="s">
        <v>244</v>
      </c>
      <c r="E87" s="23" t="s">
        <v>245</v>
      </c>
      <c r="F87" s="23">
        <v>2023</v>
      </c>
      <c r="G87" s="26" t="s">
        <v>288</v>
      </c>
      <c r="H87" s="24" t="s">
        <v>57</v>
      </c>
      <c r="I87" s="23" t="s">
        <v>31</v>
      </c>
      <c r="J87" s="23" t="s">
        <v>246</v>
      </c>
      <c r="K87" s="23">
        <v>0</v>
      </c>
      <c r="L87" s="23">
        <v>0</v>
      </c>
      <c r="M87" s="23">
        <v>400</v>
      </c>
      <c r="N87" s="23">
        <v>600</v>
      </c>
      <c r="O87" s="23" t="s">
        <v>31</v>
      </c>
      <c r="P87" s="23" t="s">
        <v>247</v>
      </c>
      <c r="Q87" s="23" t="s">
        <v>248</v>
      </c>
      <c r="R87" s="23" t="s">
        <v>31</v>
      </c>
      <c r="S87" s="23" t="s">
        <v>31</v>
      </c>
      <c r="T87" s="23" t="s">
        <v>31</v>
      </c>
      <c r="U87" s="23" t="s">
        <v>31</v>
      </c>
      <c r="V87" s="23" t="s">
        <v>31</v>
      </c>
      <c r="W87" s="23" t="s">
        <v>31</v>
      </c>
      <c r="X87" s="23" t="s">
        <v>31</v>
      </c>
      <c r="Y87" s="23" t="s">
        <v>269</v>
      </c>
    </row>
    <row r="88" spans="1:25" hidden="1" x14ac:dyDescent="0.25">
      <c r="A88" s="24" t="s">
        <v>241</v>
      </c>
      <c r="B88" s="23" t="s">
        <v>242</v>
      </c>
      <c r="C88" s="23" t="s">
        <v>243</v>
      </c>
      <c r="D88" s="23" t="s">
        <v>244</v>
      </c>
      <c r="E88" s="23" t="s">
        <v>245</v>
      </c>
      <c r="F88" s="23">
        <v>2023</v>
      </c>
      <c r="G88" s="26" t="s">
        <v>56</v>
      </c>
      <c r="H88" s="24" t="s">
        <v>57</v>
      </c>
      <c r="I88" s="23" t="s">
        <v>31</v>
      </c>
      <c r="J88" s="23" t="s">
        <v>246</v>
      </c>
      <c r="K88" s="23">
        <v>0</v>
      </c>
      <c r="L88" s="23">
        <v>0</v>
      </c>
      <c r="M88" s="23">
        <v>400</v>
      </c>
      <c r="N88" s="23">
        <v>600</v>
      </c>
      <c r="O88" s="23" t="s">
        <v>31</v>
      </c>
      <c r="P88" s="23" t="s">
        <v>247</v>
      </c>
      <c r="Q88" s="23" t="s">
        <v>248</v>
      </c>
      <c r="R88" s="23" t="s">
        <v>31</v>
      </c>
      <c r="S88" s="23" t="s">
        <v>31</v>
      </c>
      <c r="T88" s="23" t="s">
        <v>31</v>
      </c>
      <c r="U88" s="23" t="s">
        <v>31</v>
      </c>
      <c r="V88" s="23" t="s">
        <v>31</v>
      </c>
      <c r="W88" s="23" t="s">
        <v>31</v>
      </c>
      <c r="X88" s="23" t="s">
        <v>31</v>
      </c>
      <c r="Y88" s="23" t="s">
        <v>269</v>
      </c>
    </row>
    <row r="89" spans="1:25" hidden="1" x14ac:dyDescent="0.25">
      <c r="A89" s="24" t="s">
        <v>241</v>
      </c>
      <c r="B89" s="23" t="s">
        <v>242</v>
      </c>
      <c r="C89" s="23" t="s">
        <v>243</v>
      </c>
      <c r="D89" s="23" t="s">
        <v>244</v>
      </c>
      <c r="E89" s="23" t="s">
        <v>245</v>
      </c>
      <c r="F89" s="23">
        <v>2023</v>
      </c>
      <c r="G89" s="26" t="s">
        <v>289</v>
      </c>
      <c r="H89" s="24" t="s">
        <v>57</v>
      </c>
      <c r="I89" s="23" t="s">
        <v>31</v>
      </c>
      <c r="J89" s="23" t="s">
        <v>246</v>
      </c>
      <c r="K89" s="23">
        <v>0</v>
      </c>
      <c r="L89" s="23">
        <v>0</v>
      </c>
      <c r="M89" s="23">
        <v>400</v>
      </c>
      <c r="N89" s="23">
        <v>600</v>
      </c>
      <c r="O89" s="23" t="s">
        <v>31</v>
      </c>
      <c r="P89" s="23" t="s">
        <v>247</v>
      </c>
      <c r="Q89" s="23" t="s">
        <v>248</v>
      </c>
      <c r="R89" s="23" t="s">
        <v>31</v>
      </c>
      <c r="S89" s="23" t="s">
        <v>31</v>
      </c>
      <c r="T89" s="23" t="s">
        <v>31</v>
      </c>
      <c r="U89" s="23" t="s">
        <v>31</v>
      </c>
      <c r="V89" s="23" t="s">
        <v>31</v>
      </c>
      <c r="W89" s="23" t="s">
        <v>31</v>
      </c>
      <c r="X89" s="23" t="s">
        <v>31</v>
      </c>
      <c r="Y89" s="23" t="s">
        <v>269</v>
      </c>
    </row>
    <row r="90" spans="1:25" hidden="1" x14ac:dyDescent="0.25">
      <c r="A90" s="24" t="s">
        <v>241</v>
      </c>
      <c r="B90" s="23" t="s">
        <v>242</v>
      </c>
      <c r="C90" s="23" t="s">
        <v>243</v>
      </c>
      <c r="D90" s="23" t="s">
        <v>244</v>
      </c>
      <c r="E90" s="23" t="s">
        <v>245</v>
      </c>
      <c r="F90" s="23">
        <v>2023</v>
      </c>
      <c r="G90" s="30" t="s">
        <v>290</v>
      </c>
      <c r="H90" s="24" t="s">
        <v>57</v>
      </c>
      <c r="I90" s="23" t="s">
        <v>31</v>
      </c>
      <c r="J90" s="23" t="s">
        <v>275</v>
      </c>
      <c r="K90" s="23">
        <v>2</v>
      </c>
      <c r="L90" s="23">
        <v>2</v>
      </c>
      <c r="M90" s="29">
        <v>3800</v>
      </c>
      <c r="N90" s="29">
        <v>4100</v>
      </c>
      <c r="O90" s="23" t="s">
        <v>31</v>
      </c>
      <c r="P90" s="23" t="s">
        <v>247</v>
      </c>
      <c r="Q90" s="23" t="s">
        <v>276</v>
      </c>
      <c r="R90" s="23" t="s">
        <v>31</v>
      </c>
      <c r="S90" s="23" t="s">
        <v>31</v>
      </c>
      <c r="T90" s="23" t="s">
        <v>31</v>
      </c>
      <c r="U90" s="23" t="s">
        <v>31</v>
      </c>
      <c r="V90" s="23" t="s">
        <v>31</v>
      </c>
      <c r="W90" s="23" t="s">
        <v>31</v>
      </c>
      <c r="X90" s="23" t="s">
        <v>31</v>
      </c>
      <c r="Y90" s="23" t="s">
        <v>277</v>
      </c>
    </row>
    <row r="91" spans="1:25" hidden="1" x14ac:dyDescent="0.25">
      <c r="A91" s="24" t="s">
        <v>241</v>
      </c>
      <c r="B91" s="23" t="s">
        <v>242</v>
      </c>
      <c r="C91" s="23" t="s">
        <v>278</v>
      </c>
      <c r="D91" s="23" t="s">
        <v>244</v>
      </c>
      <c r="E91" s="23" t="s">
        <v>245</v>
      </c>
      <c r="F91" s="23">
        <v>2023</v>
      </c>
      <c r="G91" s="30" t="s">
        <v>290</v>
      </c>
      <c r="H91" s="24" t="s">
        <v>57</v>
      </c>
      <c r="I91" s="23" t="s">
        <v>31</v>
      </c>
      <c r="J91" s="23" t="s">
        <v>246</v>
      </c>
      <c r="K91" s="23" t="s">
        <v>31</v>
      </c>
      <c r="L91" s="23">
        <v>2</v>
      </c>
      <c r="M91" s="29">
        <v>3300</v>
      </c>
      <c r="N91" s="29">
        <v>4100</v>
      </c>
      <c r="O91" s="23" t="s">
        <v>31</v>
      </c>
      <c r="P91" s="23" t="s">
        <v>247</v>
      </c>
      <c r="Q91" s="23" t="s">
        <v>276</v>
      </c>
      <c r="R91" s="23" t="s">
        <v>31</v>
      </c>
      <c r="S91" s="23" t="s">
        <v>31</v>
      </c>
      <c r="T91" s="23" t="s">
        <v>31</v>
      </c>
      <c r="U91" s="23" t="s">
        <v>31</v>
      </c>
      <c r="V91" s="23" t="s">
        <v>31</v>
      </c>
      <c r="W91" s="23" t="s">
        <v>31</v>
      </c>
      <c r="X91" s="23" t="s">
        <v>31</v>
      </c>
      <c r="Y91" s="23" t="s">
        <v>284</v>
      </c>
    </row>
    <row r="92" spans="1:25" hidden="1" x14ac:dyDescent="0.25">
      <c r="A92" s="24" t="s">
        <v>241</v>
      </c>
      <c r="B92" s="23" t="s">
        <v>242</v>
      </c>
      <c r="C92" s="23" t="s">
        <v>243</v>
      </c>
      <c r="D92" s="23" t="s">
        <v>244</v>
      </c>
      <c r="E92" s="23" t="s">
        <v>245</v>
      </c>
      <c r="F92" s="23">
        <v>2023</v>
      </c>
      <c r="G92" s="30" t="s">
        <v>83</v>
      </c>
      <c r="H92" s="24" t="s">
        <v>57</v>
      </c>
      <c r="I92" s="23" t="s">
        <v>31</v>
      </c>
      <c r="J92" s="23" t="s">
        <v>246</v>
      </c>
      <c r="K92" s="23">
        <v>0</v>
      </c>
      <c r="L92" s="23">
        <v>0</v>
      </c>
      <c r="M92" s="23">
        <v>400</v>
      </c>
      <c r="N92" s="23">
        <v>600</v>
      </c>
      <c r="O92" s="23" t="s">
        <v>31</v>
      </c>
      <c r="P92" s="23" t="s">
        <v>247</v>
      </c>
      <c r="Q92" s="23" t="s">
        <v>248</v>
      </c>
      <c r="R92" s="23" t="s">
        <v>31</v>
      </c>
      <c r="S92" s="23" t="s">
        <v>31</v>
      </c>
      <c r="T92" s="23" t="s">
        <v>31</v>
      </c>
      <c r="U92" s="23" t="s">
        <v>31</v>
      </c>
      <c r="V92" s="23" t="s">
        <v>31</v>
      </c>
      <c r="W92" s="23" t="s">
        <v>31</v>
      </c>
      <c r="X92" s="23" t="s">
        <v>31</v>
      </c>
      <c r="Y92" s="23" t="s">
        <v>269</v>
      </c>
    </row>
    <row r="93" spans="1:25" hidden="1" x14ac:dyDescent="0.25">
      <c r="A93" s="24" t="s">
        <v>241</v>
      </c>
      <c r="B93" s="23" t="s">
        <v>242</v>
      </c>
      <c r="C93" s="23" t="s">
        <v>243</v>
      </c>
      <c r="D93" s="23" t="s">
        <v>244</v>
      </c>
      <c r="E93" s="23" t="s">
        <v>245</v>
      </c>
      <c r="F93" s="23">
        <v>2023</v>
      </c>
      <c r="G93" s="30" t="s">
        <v>103</v>
      </c>
      <c r="H93" s="24" t="s">
        <v>57</v>
      </c>
      <c r="I93" s="23" t="s">
        <v>31</v>
      </c>
      <c r="J93" s="23" t="s">
        <v>246</v>
      </c>
      <c r="K93" s="23">
        <v>0</v>
      </c>
      <c r="L93" s="23">
        <v>0</v>
      </c>
      <c r="M93" s="23">
        <v>400</v>
      </c>
      <c r="N93" s="23">
        <v>600</v>
      </c>
      <c r="O93" s="23" t="s">
        <v>31</v>
      </c>
      <c r="P93" s="23" t="s">
        <v>247</v>
      </c>
      <c r="Q93" s="23" t="s">
        <v>248</v>
      </c>
      <c r="R93" s="23" t="s">
        <v>31</v>
      </c>
      <c r="S93" s="23" t="s">
        <v>31</v>
      </c>
      <c r="T93" s="23" t="s">
        <v>31</v>
      </c>
      <c r="U93" s="23" t="s">
        <v>31</v>
      </c>
      <c r="V93" s="23" t="s">
        <v>31</v>
      </c>
      <c r="W93" s="23" t="s">
        <v>31</v>
      </c>
      <c r="X93" s="23" t="s">
        <v>31</v>
      </c>
      <c r="Y93" s="23" t="s">
        <v>269</v>
      </c>
    </row>
    <row r="94" spans="1:25" hidden="1" x14ac:dyDescent="0.25">
      <c r="A94" s="24" t="s">
        <v>241</v>
      </c>
      <c r="B94" s="23" t="s">
        <v>242</v>
      </c>
      <c r="C94" s="23" t="s">
        <v>243</v>
      </c>
      <c r="D94" s="23" t="s">
        <v>244</v>
      </c>
      <c r="E94" s="23" t="s">
        <v>245</v>
      </c>
      <c r="F94" s="23">
        <v>2023</v>
      </c>
      <c r="G94" s="30" t="s">
        <v>70</v>
      </c>
      <c r="H94" s="24" t="s">
        <v>57</v>
      </c>
      <c r="I94" s="23" t="s">
        <v>31</v>
      </c>
      <c r="J94" s="23" t="s">
        <v>246</v>
      </c>
      <c r="K94" s="23">
        <v>0</v>
      </c>
      <c r="L94" s="23">
        <v>0</v>
      </c>
      <c r="M94" s="23">
        <v>400</v>
      </c>
      <c r="N94" s="23">
        <v>600</v>
      </c>
      <c r="O94" s="23" t="s">
        <v>31</v>
      </c>
      <c r="P94" s="23" t="s">
        <v>247</v>
      </c>
      <c r="Q94" s="23" t="s">
        <v>248</v>
      </c>
      <c r="R94" s="23" t="s">
        <v>31</v>
      </c>
      <c r="S94" s="23" t="s">
        <v>31</v>
      </c>
      <c r="T94" s="23" t="s">
        <v>31</v>
      </c>
      <c r="U94" s="23" t="s">
        <v>31</v>
      </c>
      <c r="V94" s="23" t="s">
        <v>31</v>
      </c>
      <c r="W94" s="23" t="s">
        <v>31</v>
      </c>
      <c r="X94" s="23" t="s">
        <v>31</v>
      </c>
      <c r="Y94" s="23" t="s">
        <v>269</v>
      </c>
    </row>
    <row r="95" spans="1:25" hidden="1" x14ac:dyDescent="0.25">
      <c r="A95" s="24" t="s">
        <v>241</v>
      </c>
      <c r="B95" s="23" t="s">
        <v>242</v>
      </c>
      <c r="C95" s="23" t="s">
        <v>243</v>
      </c>
      <c r="D95" s="23" t="s">
        <v>244</v>
      </c>
      <c r="E95" s="23" t="s">
        <v>245</v>
      </c>
      <c r="F95" s="23">
        <v>2023</v>
      </c>
      <c r="G95" s="30" t="s">
        <v>267</v>
      </c>
      <c r="H95" s="24" t="s">
        <v>57</v>
      </c>
      <c r="I95" s="23" t="s">
        <v>31</v>
      </c>
      <c r="J95" s="23" t="s">
        <v>246</v>
      </c>
      <c r="K95" s="23">
        <v>0</v>
      </c>
      <c r="L95" s="23">
        <v>0</v>
      </c>
      <c r="M95" s="23">
        <v>400</v>
      </c>
      <c r="N95" s="23">
        <v>600</v>
      </c>
      <c r="O95" s="23" t="s">
        <v>31</v>
      </c>
      <c r="P95" s="23" t="s">
        <v>247</v>
      </c>
      <c r="Q95" s="23" t="s">
        <v>248</v>
      </c>
      <c r="R95" s="23" t="s">
        <v>31</v>
      </c>
      <c r="S95" s="23" t="s">
        <v>31</v>
      </c>
      <c r="T95" s="23" t="s">
        <v>31</v>
      </c>
      <c r="U95" s="23" t="s">
        <v>31</v>
      </c>
      <c r="V95" s="23" t="s">
        <v>31</v>
      </c>
      <c r="W95" s="23" t="s">
        <v>31</v>
      </c>
      <c r="X95" s="23" t="s">
        <v>31</v>
      </c>
      <c r="Y95" s="23" t="s">
        <v>269</v>
      </c>
    </row>
    <row r="96" spans="1:25" hidden="1" x14ac:dyDescent="0.25">
      <c r="A96" s="24" t="s">
        <v>241</v>
      </c>
      <c r="B96" s="23" t="s">
        <v>242</v>
      </c>
      <c r="C96" s="23" t="s">
        <v>243</v>
      </c>
      <c r="D96" s="23" t="s">
        <v>244</v>
      </c>
      <c r="E96" s="23" t="s">
        <v>245</v>
      </c>
      <c r="F96" s="23">
        <v>2023</v>
      </c>
      <c r="G96" s="30" t="s">
        <v>105</v>
      </c>
      <c r="H96" s="24" t="s">
        <v>57</v>
      </c>
      <c r="I96" s="23" t="s">
        <v>31</v>
      </c>
      <c r="J96" s="23" t="s">
        <v>246</v>
      </c>
      <c r="K96" s="23">
        <v>0</v>
      </c>
      <c r="L96" s="23">
        <v>0</v>
      </c>
      <c r="M96" s="23">
        <v>400</v>
      </c>
      <c r="N96" s="23">
        <v>600</v>
      </c>
      <c r="O96" s="23" t="s">
        <v>31</v>
      </c>
      <c r="P96" s="23" t="s">
        <v>247</v>
      </c>
      <c r="Q96" s="23" t="s">
        <v>248</v>
      </c>
      <c r="R96" s="23" t="s">
        <v>31</v>
      </c>
      <c r="S96" s="23" t="s">
        <v>31</v>
      </c>
      <c r="T96" s="23" t="s">
        <v>31</v>
      </c>
      <c r="U96" s="23" t="s">
        <v>31</v>
      </c>
      <c r="V96" s="23" t="s">
        <v>31</v>
      </c>
      <c r="W96" s="23" t="s">
        <v>31</v>
      </c>
      <c r="X96" s="23" t="s">
        <v>31</v>
      </c>
      <c r="Y96" s="23" t="s">
        <v>269</v>
      </c>
    </row>
    <row r="97" spans="1:25" hidden="1" x14ac:dyDescent="0.25">
      <c r="A97" s="24" t="s">
        <v>241</v>
      </c>
      <c r="B97" s="23" t="s">
        <v>242</v>
      </c>
      <c r="C97" s="23" t="s">
        <v>243</v>
      </c>
      <c r="D97" s="23" t="s">
        <v>244</v>
      </c>
      <c r="E97" s="23" t="s">
        <v>245</v>
      </c>
      <c r="F97" s="23">
        <v>2023</v>
      </c>
      <c r="G97" s="30" t="s">
        <v>97</v>
      </c>
      <c r="H97" s="24" t="s">
        <v>57</v>
      </c>
      <c r="I97" s="23" t="s">
        <v>31</v>
      </c>
      <c r="J97" s="23" t="s">
        <v>246</v>
      </c>
      <c r="K97" s="23">
        <v>0</v>
      </c>
      <c r="L97" s="23">
        <v>0</v>
      </c>
      <c r="M97" s="23">
        <v>400</v>
      </c>
      <c r="N97" s="23">
        <v>600</v>
      </c>
      <c r="O97" s="23" t="s">
        <v>31</v>
      </c>
      <c r="P97" s="23" t="s">
        <v>247</v>
      </c>
      <c r="Q97" s="23" t="s">
        <v>248</v>
      </c>
      <c r="R97" s="23" t="s">
        <v>31</v>
      </c>
      <c r="S97" s="23" t="s">
        <v>31</v>
      </c>
      <c r="T97" s="23" t="s">
        <v>31</v>
      </c>
      <c r="U97" s="23" t="s">
        <v>31</v>
      </c>
      <c r="V97" s="23" t="s">
        <v>31</v>
      </c>
      <c r="W97" s="23" t="s">
        <v>31</v>
      </c>
      <c r="X97" s="23" t="s">
        <v>31</v>
      </c>
      <c r="Y97" s="23" t="s">
        <v>269</v>
      </c>
    </row>
    <row r="98" spans="1:25" hidden="1" x14ac:dyDescent="0.25">
      <c r="A98" s="24" t="s">
        <v>241</v>
      </c>
      <c r="B98" s="23" t="s">
        <v>242</v>
      </c>
      <c r="C98" s="23" t="s">
        <v>243</v>
      </c>
      <c r="D98" s="23" t="s">
        <v>244</v>
      </c>
      <c r="E98" s="23" t="s">
        <v>245</v>
      </c>
      <c r="F98" s="23">
        <v>2023</v>
      </c>
      <c r="G98" s="30" t="s">
        <v>71</v>
      </c>
      <c r="H98" s="24" t="s">
        <v>57</v>
      </c>
      <c r="I98" s="23" t="s">
        <v>31</v>
      </c>
      <c r="J98" s="23" t="s">
        <v>246</v>
      </c>
      <c r="K98" s="23">
        <v>0</v>
      </c>
      <c r="L98" s="23">
        <v>0</v>
      </c>
      <c r="M98" s="23">
        <v>400</v>
      </c>
      <c r="N98" s="23">
        <v>600</v>
      </c>
      <c r="O98" s="23" t="s">
        <v>31</v>
      </c>
      <c r="P98" s="23" t="s">
        <v>247</v>
      </c>
      <c r="Q98" s="23" t="s">
        <v>248</v>
      </c>
      <c r="R98" s="23" t="s">
        <v>31</v>
      </c>
      <c r="S98" s="23" t="s">
        <v>31</v>
      </c>
      <c r="T98" s="23" t="s">
        <v>31</v>
      </c>
      <c r="U98" s="23" t="s">
        <v>31</v>
      </c>
      <c r="V98" s="23" t="s">
        <v>31</v>
      </c>
      <c r="W98" s="23" t="s">
        <v>31</v>
      </c>
      <c r="X98" s="23" t="s">
        <v>31</v>
      </c>
      <c r="Y98" s="23" t="s">
        <v>269</v>
      </c>
    </row>
    <row r="99" spans="1:25" hidden="1" x14ac:dyDescent="0.25">
      <c r="A99" s="24" t="s">
        <v>241</v>
      </c>
      <c r="B99" s="23" t="s">
        <v>242</v>
      </c>
      <c r="C99" s="23" t="s">
        <v>243</v>
      </c>
      <c r="D99" s="23" t="s">
        <v>244</v>
      </c>
      <c r="E99" s="23" t="s">
        <v>245</v>
      </c>
      <c r="F99" s="23">
        <v>2023</v>
      </c>
      <c r="G99" s="30" t="s">
        <v>129</v>
      </c>
      <c r="H99" s="24" t="s">
        <v>66</v>
      </c>
      <c r="I99" s="23" t="s">
        <v>31</v>
      </c>
      <c r="J99" s="23" t="s">
        <v>246</v>
      </c>
      <c r="K99" s="23">
        <v>0</v>
      </c>
      <c r="L99" s="23">
        <v>0</v>
      </c>
      <c r="M99" s="23">
        <v>400</v>
      </c>
      <c r="N99" s="23">
        <v>600</v>
      </c>
      <c r="O99" s="23" t="s">
        <v>31</v>
      </c>
      <c r="P99" s="23" t="s">
        <v>247</v>
      </c>
      <c r="Q99" s="23" t="s">
        <v>248</v>
      </c>
      <c r="R99" s="23" t="s">
        <v>31</v>
      </c>
      <c r="S99" s="23" t="s">
        <v>31</v>
      </c>
      <c r="T99" s="23" t="s">
        <v>31</v>
      </c>
      <c r="U99" s="23" t="s">
        <v>31</v>
      </c>
      <c r="V99" s="23" t="s">
        <v>31</v>
      </c>
      <c r="W99" s="23" t="s">
        <v>31</v>
      </c>
      <c r="X99" s="23" t="s">
        <v>31</v>
      </c>
      <c r="Y99" s="23" t="s">
        <v>269</v>
      </c>
    </row>
    <row r="100" spans="1:25" hidden="1" x14ac:dyDescent="0.25">
      <c r="A100" s="24" t="s">
        <v>241</v>
      </c>
      <c r="B100" s="23" t="s">
        <v>242</v>
      </c>
      <c r="C100" s="23" t="s">
        <v>243</v>
      </c>
      <c r="D100" s="23" t="s">
        <v>244</v>
      </c>
      <c r="E100" s="23" t="s">
        <v>245</v>
      </c>
      <c r="F100" s="23">
        <v>2023</v>
      </c>
      <c r="G100" s="30" t="s">
        <v>254</v>
      </c>
      <c r="H100" s="24" t="s">
        <v>66</v>
      </c>
      <c r="I100" s="23" t="s">
        <v>31</v>
      </c>
      <c r="J100" s="23" t="s">
        <v>246</v>
      </c>
      <c r="K100" s="23">
        <v>0</v>
      </c>
      <c r="L100" s="23">
        <v>0</v>
      </c>
      <c r="M100" s="23">
        <v>400</v>
      </c>
      <c r="N100" s="23">
        <v>600</v>
      </c>
      <c r="O100" s="23" t="s">
        <v>31</v>
      </c>
      <c r="P100" s="23" t="s">
        <v>247</v>
      </c>
      <c r="Q100" s="23" t="s">
        <v>248</v>
      </c>
      <c r="R100" s="23" t="s">
        <v>31</v>
      </c>
      <c r="S100" s="23" t="s">
        <v>31</v>
      </c>
      <c r="T100" s="23" t="s">
        <v>31</v>
      </c>
      <c r="U100" s="23" t="s">
        <v>31</v>
      </c>
      <c r="V100" s="23" t="s">
        <v>31</v>
      </c>
      <c r="W100" s="23" t="s">
        <v>31</v>
      </c>
      <c r="X100" s="23" t="s">
        <v>31</v>
      </c>
      <c r="Y100" s="23" t="s">
        <v>269</v>
      </c>
    </row>
    <row r="101" spans="1:25" hidden="1" x14ac:dyDescent="0.25">
      <c r="A101" s="24" t="s">
        <v>241</v>
      </c>
      <c r="B101" s="23" t="s">
        <v>242</v>
      </c>
      <c r="C101" s="23" t="s">
        <v>243</v>
      </c>
      <c r="D101" s="23" t="s">
        <v>244</v>
      </c>
      <c r="E101" s="23" t="s">
        <v>245</v>
      </c>
      <c r="F101" s="23">
        <v>2023</v>
      </c>
      <c r="G101" s="30" t="s">
        <v>43</v>
      </c>
      <c r="H101" s="24" t="s">
        <v>66</v>
      </c>
      <c r="I101" s="23" t="s">
        <v>31</v>
      </c>
      <c r="J101" s="23" t="s">
        <v>246</v>
      </c>
      <c r="K101" s="23">
        <v>0</v>
      </c>
      <c r="L101" s="23">
        <v>0</v>
      </c>
      <c r="M101" s="23">
        <v>400</v>
      </c>
      <c r="N101" s="23">
        <v>600</v>
      </c>
      <c r="O101" s="23" t="s">
        <v>31</v>
      </c>
      <c r="P101" s="23" t="s">
        <v>247</v>
      </c>
      <c r="Q101" s="23" t="s">
        <v>248</v>
      </c>
      <c r="R101" s="23" t="s">
        <v>31</v>
      </c>
      <c r="S101" s="23" t="s">
        <v>31</v>
      </c>
      <c r="T101" s="23" t="s">
        <v>31</v>
      </c>
      <c r="U101" s="23" t="s">
        <v>31</v>
      </c>
      <c r="V101" s="23" t="s">
        <v>31</v>
      </c>
      <c r="W101" s="23" t="s">
        <v>31</v>
      </c>
      <c r="X101" s="23" t="s">
        <v>31</v>
      </c>
      <c r="Y101" s="23" t="s">
        <v>269</v>
      </c>
    </row>
    <row r="102" spans="1:25" hidden="1" x14ac:dyDescent="0.25">
      <c r="A102" s="24" t="s">
        <v>241</v>
      </c>
      <c r="B102" s="23" t="s">
        <v>242</v>
      </c>
      <c r="C102" s="23" t="s">
        <v>243</v>
      </c>
      <c r="D102" s="23" t="s">
        <v>244</v>
      </c>
      <c r="E102" s="23" t="s">
        <v>245</v>
      </c>
      <c r="F102" s="23">
        <v>2023</v>
      </c>
      <c r="G102" s="30" t="s">
        <v>37</v>
      </c>
      <c r="H102" s="24" t="s">
        <v>66</v>
      </c>
      <c r="I102" s="23" t="s">
        <v>31</v>
      </c>
      <c r="J102" s="23" t="s">
        <v>246</v>
      </c>
      <c r="K102" s="23">
        <v>0</v>
      </c>
      <c r="L102" s="23">
        <v>0</v>
      </c>
      <c r="M102" s="23">
        <v>400</v>
      </c>
      <c r="N102" s="23">
        <v>600</v>
      </c>
      <c r="O102" s="23" t="s">
        <v>31</v>
      </c>
      <c r="P102" s="23" t="s">
        <v>247</v>
      </c>
      <c r="Q102" s="23" t="s">
        <v>248</v>
      </c>
      <c r="R102" s="23" t="s">
        <v>31</v>
      </c>
      <c r="S102" s="23" t="s">
        <v>31</v>
      </c>
      <c r="T102" s="23" t="s">
        <v>31</v>
      </c>
      <c r="U102" s="23" t="s">
        <v>31</v>
      </c>
      <c r="V102" s="23" t="s">
        <v>31</v>
      </c>
      <c r="W102" s="23" t="s">
        <v>31</v>
      </c>
      <c r="X102" s="23" t="s">
        <v>31</v>
      </c>
      <c r="Y102" s="23" t="s">
        <v>269</v>
      </c>
    </row>
    <row r="103" spans="1:25" x14ac:dyDescent="0.25">
      <c r="A103" s="24" t="s">
        <v>241</v>
      </c>
      <c r="B103" s="23" t="s">
        <v>242</v>
      </c>
      <c r="C103" s="23" t="s">
        <v>243</v>
      </c>
      <c r="D103" s="23" t="s">
        <v>244</v>
      </c>
      <c r="E103" s="23" t="s">
        <v>245</v>
      </c>
      <c r="F103" s="23">
        <v>2023</v>
      </c>
      <c r="G103" s="30" t="s">
        <v>46</v>
      </c>
      <c r="H103" s="24" t="s">
        <v>66</v>
      </c>
      <c r="I103" s="23" t="s">
        <v>31</v>
      </c>
      <c r="J103" s="23" t="s">
        <v>246</v>
      </c>
      <c r="K103" s="23">
        <v>0</v>
      </c>
      <c r="L103" s="23">
        <v>0</v>
      </c>
      <c r="M103" s="23">
        <v>400</v>
      </c>
      <c r="N103" s="23">
        <v>600</v>
      </c>
      <c r="O103" s="23" t="s">
        <v>31</v>
      </c>
      <c r="P103" s="23" t="s">
        <v>247</v>
      </c>
      <c r="Q103" s="23" t="s">
        <v>248</v>
      </c>
      <c r="R103" s="23" t="s">
        <v>31</v>
      </c>
      <c r="S103" s="23" t="s">
        <v>31</v>
      </c>
      <c r="T103" s="23" t="s">
        <v>31</v>
      </c>
      <c r="U103" s="23" t="s">
        <v>31</v>
      </c>
      <c r="V103" s="23" t="s">
        <v>31</v>
      </c>
      <c r="W103" s="23" t="s">
        <v>31</v>
      </c>
      <c r="X103" s="23" t="s">
        <v>31</v>
      </c>
      <c r="Y103" s="23" t="s">
        <v>269</v>
      </c>
    </row>
    <row r="104" spans="1:25" hidden="1" x14ac:dyDescent="0.25">
      <c r="A104" s="24" t="s">
        <v>241</v>
      </c>
      <c r="B104" s="23" t="s">
        <v>242</v>
      </c>
      <c r="C104" s="23" t="s">
        <v>243</v>
      </c>
      <c r="D104" s="23" t="s">
        <v>244</v>
      </c>
      <c r="E104" s="23" t="s">
        <v>245</v>
      </c>
      <c r="F104" s="23">
        <v>2023</v>
      </c>
      <c r="G104" s="30" t="s">
        <v>72</v>
      </c>
      <c r="H104" s="24" t="s">
        <v>66</v>
      </c>
      <c r="I104" s="23" t="s">
        <v>31</v>
      </c>
      <c r="J104" s="23" t="s">
        <v>246</v>
      </c>
      <c r="K104" s="23">
        <v>0</v>
      </c>
      <c r="L104" s="23">
        <v>0</v>
      </c>
      <c r="M104" s="23">
        <v>400</v>
      </c>
      <c r="N104" s="23">
        <v>600</v>
      </c>
      <c r="O104" s="23" t="s">
        <v>31</v>
      </c>
      <c r="P104" s="23" t="s">
        <v>247</v>
      </c>
      <c r="Q104" s="23" t="s">
        <v>248</v>
      </c>
      <c r="R104" s="23" t="s">
        <v>31</v>
      </c>
      <c r="S104" s="23" t="s">
        <v>31</v>
      </c>
      <c r="T104" s="23" t="s">
        <v>31</v>
      </c>
      <c r="U104" s="23" t="s">
        <v>31</v>
      </c>
      <c r="V104" s="23" t="s">
        <v>31</v>
      </c>
      <c r="W104" s="23" t="s">
        <v>31</v>
      </c>
      <c r="X104" s="23" t="s">
        <v>31</v>
      </c>
      <c r="Y104" s="23" t="s">
        <v>269</v>
      </c>
    </row>
    <row r="105" spans="1:25" hidden="1" x14ac:dyDescent="0.25">
      <c r="A105" s="24" t="s">
        <v>241</v>
      </c>
      <c r="B105" s="23" t="s">
        <v>242</v>
      </c>
      <c r="C105" s="23" t="s">
        <v>243</v>
      </c>
      <c r="D105" s="23" t="s">
        <v>244</v>
      </c>
      <c r="E105" s="23" t="s">
        <v>245</v>
      </c>
      <c r="F105" s="23">
        <v>2023</v>
      </c>
      <c r="G105" s="30" t="s">
        <v>291</v>
      </c>
      <c r="H105" s="24" t="s">
        <v>66</v>
      </c>
      <c r="I105" s="23" t="s">
        <v>31</v>
      </c>
      <c r="J105" s="23" t="s">
        <v>246</v>
      </c>
      <c r="K105" s="23">
        <v>0</v>
      </c>
      <c r="L105" s="23">
        <v>0</v>
      </c>
      <c r="M105" s="23">
        <v>400</v>
      </c>
      <c r="N105" s="23">
        <v>600</v>
      </c>
      <c r="O105" s="23" t="s">
        <v>31</v>
      </c>
      <c r="P105" s="23" t="s">
        <v>247</v>
      </c>
      <c r="Q105" s="23" t="s">
        <v>248</v>
      </c>
      <c r="R105" s="23" t="s">
        <v>31</v>
      </c>
      <c r="S105" s="23" t="s">
        <v>31</v>
      </c>
      <c r="T105" s="23" t="s">
        <v>31</v>
      </c>
      <c r="U105" s="23" t="s">
        <v>31</v>
      </c>
      <c r="V105" s="23" t="s">
        <v>31</v>
      </c>
      <c r="W105" s="23" t="s">
        <v>31</v>
      </c>
      <c r="X105" s="23" t="s">
        <v>31</v>
      </c>
      <c r="Y105" s="23" t="s">
        <v>269</v>
      </c>
    </row>
    <row r="106" spans="1:25" hidden="1" x14ac:dyDescent="0.25">
      <c r="A106" s="24" t="s">
        <v>241</v>
      </c>
      <c r="B106" s="23" t="s">
        <v>242</v>
      </c>
      <c r="C106" s="23" t="s">
        <v>243</v>
      </c>
      <c r="D106" s="23" t="s">
        <v>244</v>
      </c>
      <c r="E106" s="23" t="s">
        <v>245</v>
      </c>
      <c r="F106" s="23">
        <v>2023</v>
      </c>
      <c r="G106" s="30" t="s">
        <v>129</v>
      </c>
      <c r="H106" s="24" t="s">
        <v>66</v>
      </c>
      <c r="I106" s="23" t="s">
        <v>31</v>
      </c>
      <c r="J106" s="23" t="s">
        <v>246</v>
      </c>
      <c r="K106" s="23">
        <v>0</v>
      </c>
      <c r="L106" s="23">
        <v>0</v>
      </c>
      <c r="M106" s="23">
        <v>400</v>
      </c>
      <c r="N106" s="23">
        <v>600</v>
      </c>
      <c r="O106" s="23" t="s">
        <v>31</v>
      </c>
      <c r="P106" s="23" t="s">
        <v>247</v>
      </c>
      <c r="Q106" s="23" t="s">
        <v>248</v>
      </c>
      <c r="R106" s="23" t="s">
        <v>31</v>
      </c>
      <c r="S106" s="23" t="s">
        <v>31</v>
      </c>
      <c r="T106" s="23" t="s">
        <v>31</v>
      </c>
      <c r="U106" s="23" t="s">
        <v>31</v>
      </c>
      <c r="V106" s="23" t="s">
        <v>31</v>
      </c>
      <c r="W106" s="23" t="s">
        <v>31</v>
      </c>
      <c r="X106" s="23" t="s">
        <v>31</v>
      </c>
      <c r="Y106" s="23" t="s">
        <v>269</v>
      </c>
    </row>
    <row r="107" spans="1:25" hidden="1" x14ac:dyDescent="0.25">
      <c r="A107" s="24" t="s">
        <v>241</v>
      </c>
      <c r="B107" s="23" t="s">
        <v>242</v>
      </c>
      <c r="C107" s="23" t="s">
        <v>243</v>
      </c>
      <c r="D107" s="23" t="s">
        <v>244</v>
      </c>
      <c r="E107" s="23" t="s">
        <v>245</v>
      </c>
      <c r="F107" s="23">
        <v>2023</v>
      </c>
      <c r="G107" s="30" t="s">
        <v>291</v>
      </c>
      <c r="H107" s="24" t="s">
        <v>66</v>
      </c>
      <c r="I107" s="23" t="s">
        <v>31</v>
      </c>
      <c r="J107" s="23" t="s">
        <v>246</v>
      </c>
      <c r="K107" s="23">
        <v>0</v>
      </c>
      <c r="L107" s="23">
        <v>0</v>
      </c>
      <c r="M107" s="23">
        <v>400</v>
      </c>
      <c r="N107" s="23">
        <v>600</v>
      </c>
      <c r="O107" s="23" t="s">
        <v>31</v>
      </c>
      <c r="P107" s="23" t="s">
        <v>247</v>
      </c>
      <c r="Q107" s="23" t="s">
        <v>248</v>
      </c>
      <c r="R107" s="23" t="s">
        <v>31</v>
      </c>
      <c r="S107" s="23" t="s">
        <v>31</v>
      </c>
      <c r="T107" s="23" t="s">
        <v>31</v>
      </c>
      <c r="U107" s="23" t="s">
        <v>31</v>
      </c>
      <c r="V107" s="23" t="s">
        <v>31</v>
      </c>
      <c r="W107" s="23" t="s">
        <v>31</v>
      </c>
      <c r="X107" s="23" t="s">
        <v>31</v>
      </c>
      <c r="Y107" s="23" t="s">
        <v>269</v>
      </c>
    </row>
    <row r="108" spans="1:25" hidden="1" x14ac:dyDescent="0.25">
      <c r="A108" s="24" t="s">
        <v>241</v>
      </c>
      <c r="B108" s="23" t="s">
        <v>242</v>
      </c>
      <c r="C108" s="23" t="s">
        <v>243</v>
      </c>
      <c r="D108" s="23" t="s">
        <v>244</v>
      </c>
      <c r="E108" s="23" t="s">
        <v>245</v>
      </c>
      <c r="F108" s="23">
        <v>2023</v>
      </c>
      <c r="G108" s="210" t="s">
        <v>292</v>
      </c>
      <c r="H108" s="24" t="s">
        <v>66</v>
      </c>
      <c r="I108" s="23" t="s">
        <v>31</v>
      </c>
      <c r="J108" s="23" t="s">
        <v>246</v>
      </c>
      <c r="K108" s="23">
        <v>0</v>
      </c>
      <c r="L108" s="23">
        <v>0</v>
      </c>
      <c r="M108" s="23">
        <v>400</v>
      </c>
      <c r="N108" s="23">
        <v>600</v>
      </c>
      <c r="O108" s="23" t="s">
        <v>31</v>
      </c>
      <c r="P108" s="23" t="s">
        <v>247</v>
      </c>
      <c r="Q108" s="23" t="s">
        <v>248</v>
      </c>
      <c r="R108" s="23" t="s">
        <v>31</v>
      </c>
      <c r="S108" s="23" t="s">
        <v>31</v>
      </c>
      <c r="T108" s="23" t="s">
        <v>31</v>
      </c>
      <c r="U108" s="23" t="s">
        <v>31</v>
      </c>
      <c r="V108" s="23" t="s">
        <v>31</v>
      </c>
      <c r="W108" s="23" t="s">
        <v>31</v>
      </c>
      <c r="X108" s="23" t="s">
        <v>31</v>
      </c>
      <c r="Y108" s="23" t="s">
        <v>269</v>
      </c>
    </row>
    <row r="109" spans="1:25" hidden="1" x14ac:dyDescent="0.25">
      <c r="A109" s="24" t="s">
        <v>241</v>
      </c>
      <c r="B109" s="23" t="s">
        <v>242</v>
      </c>
      <c r="C109" s="23" t="s">
        <v>243</v>
      </c>
      <c r="D109" s="23" t="s">
        <v>244</v>
      </c>
      <c r="E109" s="23" t="s">
        <v>245</v>
      </c>
      <c r="F109" s="23">
        <v>2023</v>
      </c>
      <c r="G109" s="31" t="s">
        <v>121</v>
      </c>
      <c r="H109" s="24" t="s">
        <v>66</v>
      </c>
      <c r="I109" s="23" t="s">
        <v>31</v>
      </c>
      <c r="J109" s="23" t="s">
        <v>246</v>
      </c>
      <c r="K109" s="23">
        <v>0</v>
      </c>
      <c r="L109" s="23">
        <v>0</v>
      </c>
      <c r="M109" s="23">
        <v>400</v>
      </c>
      <c r="N109" s="23">
        <v>600</v>
      </c>
      <c r="O109" s="23" t="s">
        <v>31</v>
      </c>
      <c r="P109" s="23" t="s">
        <v>247</v>
      </c>
      <c r="Q109" s="23" t="s">
        <v>248</v>
      </c>
      <c r="R109" s="23" t="s">
        <v>31</v>
      </c>
      <c r="S109" s="23" t="s">
        <v>31</v>
      </c>
      <c r="T109" s="23" t="s">
        <v>31</v>
      </c>
      <c r="U109" s="23" t="s">
        <v>31</v>
      </c>
      <c r="V109" s="23" t="s">
        <v>31</v>
      </c>
      <c r="W109" s="23" t="s">
        <v>31</v>
      </c>
      <c r="X109" s="23" t="s">
        <v>31</v>
      </c>
      <c r="Y109" s="23" t="s">
        <v>269</v>
      </c>
    </row>
    <row r="110" spans="1:25" hidden="1" x14ac:dyDescent="0.25">
      <c r="A110" s="24" t="s">
        <v>241</v>
      </c>
      <c r="B110" s="23" t="s">
        <v>242</v>
      </c>
      <c r="C110" s="23" t="s">
        <v>243</v>
      </c>
      <c r="D110" s="23" t="s">
        <v>244</v>
      </c>
      <c r="E110" s="23" t="s">
        <v>245</v>
      </c>
      <c r="F110" s="23">
        <v>2023</v>
      </c>
      <c r="G110" s="31" t="s">
        <v>293</v>
      </c>
      <c r="H110" s="24" t="s">
        <v>66</v>
      </c>
      <c r="I110" s="23" t="s">
        <v>31</v>
      </c>
      <c r="J110" s="23" t="s">
        <v>246</v>
      </c>
      <c r="K110" s="23">
        <v>0</v>
      </c>
      <c r="L110" s="23">
        <v>0</v>
      </c>
      <c r="M110" s="23">
        <v>400</v>
      </c>
      <c r="N110" s="23">
        <v>600</v>
      </c>
      <c r="O110" s="23" t="s">
        <v>31</v>
      </c>
      <c r="P110" s="23" t="s">
        <v>247</v>
      </c>
      <c r="Q110" s="23" t="s">
        <v>248</v>
      </c>
      <c r="R110" s="23" t="s">
        <v>31</v>
      </c>
      <c r="S110" s="23" t="s">
        <v>31</v>
      </c>
      <c r="T110" s="23" t="s">
        <v>31</v>
      </c>
      <c r="U110" s="23" t="s">
        <v>31</v>
      </c>
      <c r="V110" s="23" t="s">
        <v>31</v>
      </c>
      <c r="W110" s="23" t="s">
        <v>31</v>
      </c>
      <c r="X110" s="23" t="s">
        <v>31</v>
      </c>
      <c r="Y110" s="23" t="s">
        <v>269</v>
      </c>
    </row>
    <row r="111" spans="1:25" hidden="1" x14ac:dyDescent="0.25">
      <c r="A111" s="24" t="s">
        <v>241</v>
      </c>
      <c r="B111" s="23" t="s">
        <v>242</v>
      </c>
      <c r="C111" s="23" t="s">
        <v>243</v>
      </c>
      <c r="D111" s="23" t="s">
        <v>244</v>
      </c>
      <c r="E111" s="23" t="s">
        <v>245</v>
      </c>
      <c r="F111" s="23">
        <v>2023</v>
      </c>
      <c r="G111" s="31" t="s">
        <v>120</v>
      </c>
      <c r="H111" s="24" t="s">
        <v>66</v>
      </c>
      <c r="I111" s="23" t="s">
        <v>31</v>
      </c>
      <c r="J111" s="23" t="s">
        <v>246</v>
      </c>
      <c r="K111" s="23">
        <v>0</v>
      </c>
      <c r="L111" s="23">
        <v>0</v>
      </c>
      <c r="M111" s="23">
        <v>400</v>
      </c>
      <c r="N111" s="23">
        <v>600</v>
      </c>
      <c r="O111" s="23" t="s">
        <v>31</v>
      </c>
      <c r="P111" s="23" t="s">
        <v>247</v>
      </c>
      <c r="Q111" s="23" t="s">
        <v>248</v>
      </c>
      <c r="R111" s="23" t="s">
        <v>31</v>
      </c>
      <c r="S111" s="23" t="s">
        <v>31</v>
      </c>
      <c r="T111" s="23" t="s">
        <v>31</v>
      </c>
      <c r="U111" s="23" t="s">
        <v>31</v>
      </c>
      <c r="V111" s="23" t="s">
        <v>31</v>
      </c>
      <c r="W111" s="23" t="s">
        <v>31</v>
      </c>
      <c r="X111" s="23" t="s">
        <v>31</v>
      </c>
      <c r="Y111" s="23" t="s">
        <v>269</v>
      </c>
    </row>
    <row r="112" spans="1:25" hidden="1" x14ac:dyDescent="0.25">
      <c r="A112" s="24" t="s">
        <v>241</v>
      </c>
      <c r="B112" s="23" t="s">
        <v>242</v>
      </c>
      <c r="C112" s="23" t="s">
        <v>243</v>
      </c>
      <c r="D112" s="23" t="s">
        <v>244</v>
      </c>
      <c r="E112" s="23" t="s">
        <v>245</v>
      </c>
      <c r="F112" s="23">
        <v>2023</v>
      </c>
      <c r="G112" s="31" t="s">
        <v>124</v>
      </c>
      <c r="H112" s="24" t="s">
        <v>66</v>
      </c>
      <c r="I112" s="23" t="s">
        <v>31</v>
      </c>
      <c r="J112" s="23" t="s">
        <v>246</v>
      </c>
      <c r="K112" s="23">
        <v>0</v>
      </c>
      <c r="L112" s="23">
        <v>0</v>
      </c>
      <c r="M112" s="23">
        <v>400</v>
      </c>
      <c r="N112" s="23">
        <v>600</v>
      </c>
      <c r="O112" s="23" t="s">
        <v>31</v>
      </c>
      <c r="P112" s="23" t="s">
        <v>247</v>
      </c>
      <c r="Q112" s="23" t="s">
        <v>248</v>
      </c>
      <c r="R112" s="23" t="s">
        <v>31</v>
      </c>
      <c r="S112" s="23" t="s">
        <v>31</v>
      </c>
      <c r="T112" s="23" t="s">
        <v>31</v>
      </c>
      <c r="U112" s="23" t="s">
        <v>31</v>
      </c>
      <c r="V112" s="23" t="s">
        <v>31</v>
      </c>
      <c r="W112" s="23" t="s">
        <v>31</v>
      </c>
      <c r="X112" s="23" t="s">
        <v>31</v>
      </c>
      <c r="Y112" s="23" t="s">
        <v>269</v>
      </c>
    </row>
    <row r="113" spans="1:25" hidden="1" x14ac:dyDescent="0.25">
      <c r="A113" s="24" t="s">
        <v>241</v>
      </c>
      <c r="B113" s="23" t="s">
        <v>242</v>
      </c>
      <c r="C113" s="23" t="s">
        <v>243</v>
      </c>
      <c r="D113" s="23" t="s">
        <v>244</v>
      </c>
      <c r="E113" s="23" t="s">
        <v>245</v>
      </c>
      <c r="F113" s="23">
        <v>2023</v>
      </c>
      <c r="G113" s="31" t="s">
        <v>292</v>
      </c>
      <c r="H113" s="24" t="s">
        <v>66</v>
      </c>
      <c r="I113" s="23" t="s">
        <v>31</v>
      </c>
      <c r="J113" s="23" t="s">
        <v>246</v>
      </c>
      <c r="K113" s="23">
        <v>0</v>
      </c>
      <c r="L113" s="23">
        <v>0</v>
      </c>
      <c r="M113" s="23">
        <v>400</v>
      </c>
      <c r="N113" s="23">
        <v>600</v>
      </c>
      <c r="O113" s="23" t="s">
        <v>31</v>
      </c>
      <c r="P113" s="23" t="s">
        <v>247</v>
      </c>
      <c r="Q113" s="23" t="s">
        <v>248</v>
      </c>
      <c r="R113" s="23" t="s">
        <v>31</v>
      </c>
      <c r="S113" s="23" t="s">
        <v>31</v>
      </c>
      <c r="T113" s="23" t="s">
        <v>31</v>
      </c>
      <c r="U113" s="23" t="s">
        <v>31</v>
      </c>
      <c r="V113" s="23" t="s">
        <v>31</v>
      </c>
      <c r="W113" s="23" t="s">
        <v>31</v>
      </c>
      <c r="X113" s="23" t="s">
        <v>31</v>
      </c>
      <c r="Y113" s="23" t="s">
        <v>269</v>
      </c>
    </row>
    <row r="114" spans="1:25" hidden="1" x14ac:dyDescent="0.25">
      <c r="A114" s="24" t="s">
        <v>241</v>
      </c>
      <c r="B114" s="23" t="s">
        <v>242</v>
      </c>
      <c r="C114" s="23" t="s">
        <v>243</v>
      </c>
      <c r="D114" s="23" t="s">
        <v>244</v>
      </c>
      <c r="E114" s="23" t="s">
        <v>245</v>
      </c>
      <c r="F114" s="23">
        <v>2023</v>
      </c>
      <c r="G114" s="31" t="s">
        <v>122</v>
      </c>
      <c r="H114" s="24" t="s">
        <v>66</v>
      </c>
      <c r="I114" s="23" t="s">
        <v>31</v>
      </c>
      <c r="J114" s="23" t="s">
        <v>246</v>
      </c>
      <c r="K114" s="23">
        <v>0</v>
      </c>
      <c r="L114" s="23">
        <v>0</v>
      </c>
      <c r="M114" s="23">
        <v>400</v>
      </c>
      <c r="N114" s="23">
        <v>600</v>
      </c>
      <c r="O114" s="23" t="s">
        <v>31</v>
      </c>
      <c r="P114" s="23" t="s">
        <v>247</v>
      </c>
      <c r="Q114" s="23" t="s">
        <v>248</v>
      </c>
      <c r="R114" s="23" t="s">
        <v>31</v>
      </c>
      <c r="S114" s="23" t="s">
        <v>31</v>
      </c>
      <c r="T114" s="23" t="s">
        <v>31</v>
      </c>
      <c r="U114" s="23" t="s">
        <v>31</v>
      </c>
      <c r="V114" s="23" t="s">
        <v>31</v>
      </c>
      <c r="W114" s="23" t="s">
        <v>31</v>
      </c>
      <c r="X114" s="23" t="s">
        <v>31</v>
      </c>
      <c r="Y114" s="23" t="s">
        <v>269</v>
      </c>
    </row>
    <row r="115" spans="1:25" hidden="1" x14ac:dyDescent="0.25">
      <c r="A115" s="24" t="s">
        <v>241</v>
      </c>
      <c r="B115" s="23" t="s">
        <v>242</v>
      </c>
      <c r="C115" s="23" t="s">
        <v>243</v>
      </c>
      <c r="D115" s="23" t="s">
        <v>244</v>
      </c>
      <c r="E115" s="23" t="s">
        <v>245</v>
      </c>
      <c r="F115" s="23">
        <v>2023</v>
      </c>
      <c r="G115" s="31" t="s">
        <v>122</v>
      </c>
      <c r="H115" s="24" t="s">
        <v>66</v>
      </c>
      <c r="I115" s="23" t="s">
        <v>31</v>
      </c>
      <c r="J115" s="23" t="s">
        <v>246</v>
      </c>
      <c r="K115" s="23">
        <v>0</v>
      </c>
      <c r="L115" s="23">
        <v>0</v>
      </c>
      <c r="M115" s="23">
        <v>400</v>
      </c>
      <c r="N115" s="23">
        <v>600</v>
      </c>
      <c r="O115" s="23" t="s">
        <v>31</v>
      </c>
      <c r="P115" s="23" t="s">
        <v>247</v>
      </c>
      <c r="Q115" s="23" t="s">
        <v>248</v>
      </c>
      <c r="R115" s="23" t="s">
        <v>31</v>
      </c>
      <c r="S115" s="23" t="s">
        <v>31</v>
      </c>
      <c r="T115" s="23" t="s">
        <v>31</v>
      </c>
      <c r="U115" s="23" t="s">
        <v>31</v>
      </c>
      <c r="V115" s="23" t="s">
        <v>31</v>
      </c>
      <c r="W115" s="23" t="s">
        <v>31</v>
      </c>
      <c r="X115" s="23" t="s">
        <v>31</v>
      </c>
      <c r="Y115" s="23" t="s">
        <v>269</v>
      </c>
    </row>
    <row r="116" spans="1:25" hidden="1" x14ac:dyDescent="0.25">
      <c r="A116" s="24" t="s">
        <v>241</v>
      </c>
      <c r="B116" s="23" t="s">
        <v>242</v>
      </c>
      <c r="C116" s="23" t="s">
        <v>243</v>
      </c>
      <c r="D116" s="23" t="s">
        <v>244</v>
      </c>
      <c r="E116" s="23" t="s">
        <v>245</v>
      </c>
      <c r="F116" s="23">
        <v>2023</v>
      </c>
      <c r="G116" s="31" t="s">
        <v>122</v>
      </c>
      <c r="H116" s="24" t="s">
        <v>66</v>
      </c>
      <c r="I116" s="23" t="s">
        <v>31</v>
      </c>
      <c r="J116" s="23" t="s">
        <v>246</v>
      </c>
      <c r="K116" s="23">
        <v>0</v>
      </c>
      <c r="L116" s="23">
        <v>0</v>
      </c>
      <c r="M116" s="23">
        <v>400</v>
      </c>
      <c r="N116" s="23">
        <v>600</v>
      </c>
      <c r="O116" s="23" t="s">
        <v>31</v>
      </c>
      <c r="P116" s="23" t="s">
        <v>247</v>
      </c>
      <c r="Q116" s="23" t="s">
        <v>248</v>
      </c>
      <c r="R116" s="23" t="s">
        <v>31</v>
      </c>
      <c r="S116" s="23" t="s">
        <v>31</v>
      </c>
      <c r="T116" s="23" t="s">
        <v>31</v>
      </c>
      <c r="U116" s="23" t="s">
        <v>31</v>
      </c>
      <c r="V116" s="23" t="s">
        <v>31</v>
      </c>
      <c r="W116" s="23" t="s">
        <v>31</v>
      </c>
      <c r="X116" s="23" t="s">
        <v>31</v>
      </c>
      <c r="Y116" s="23" t="s">
        <v>269</v>
      </c>
    </row>
    <row r="117" spans="1:25" hidden="1" x14ac:dyDescent="0.25">
      <c r="A117" s="24" t="s">
        <v>241</v>
      </c>
      <c r="B117" s="23" t="s">
        <v>242</v>
      </c>
      <c r="C117" s="23" t="s">
        <v>243</v>
      </c>
      <c r="D117" s="23" t="s">
        <v>244</v>
      </c>
      <c r="E117" s="23" t="s">
        <v>245</v>
      </c>
      <c r="F117" s="23">
        <v>2023</v>
      </c>
      <c r="G117" s="31" t="s">
        <v>56</v>
      </c>
      <c r="H117" s="24" t="s">
        <v>57</v>
      </c>
      <c r="I117" s="23" t="s">
        <v>31</v>
      </c>
      <c r="J117" s="23" t="s">
        <v>246</v>
      </c>
      <c r="K117" s="23">
        <v>0</v>
      </c>
      <c r="L117" s="23">
        <v>0</v>
      </c>
      <c r="M117" s="29">
        <v>1200</v>
      </c>
      <c r="N117" s="29">
        <v>1000</v>
      </c>
      <c r="O117" s="23" t="s">
        <v>31</v>
      </c>
      <c r="P117" s="23" t="s">
        <v>247</v>
      </c>
      <c r="Q117" s="23" t="s">
        <v>294</v>
      </c>
      <c r="R117" s="23" t="s">
        <v>31</v>
      </c>
      <c r="S117" s="23" t="s">
        <v>31</v>
      </c>
      <c r="T117" s="23" t="s">
        <v>31</v>
      </c>
      <c r="U117" s="23" t="s">
        <v>31</v>
      </c>
      <c r="V117" s="23" t="s">
        <v>31</v>
      </c>
      <c r="W117" s="23" t="s">
        <v>31</v>
      </c>
      <c r="X117" s="23" t="s">
        <v>31</v>
      </c>
      <c r="Y117" s="23" t="s">
        <v>295</v>
      </c>
    </row>
    <row r="118" spans="1:25" hidden="1" x14ac:dyDescent="0.25">
      <c r="A118" s="24" t="s">
        <v>241</v>
      </c>
      <c r="B118" s="23" t="s">
        <v>242</v>
      </c>
      <c r="C118" s="23" t="s">
        <v>243</v>
      </c>
      <c r="D118" s="23" t="s">
        <v>244</v>
      </c>
      <c r="E118" s="23" t="s">
        <v>245</v>
      </c>
      <c r="F118" s="23">
        <v>2023</v>
      </c>
      <c r="G118" s="67" t="s">
        <v>255</v>
      </c>
      <c r="H118" s="76" t="s">
        <v>53</v>
      </c>
      <c r="I118" s="23" t="s">
        <v>31</v>
      </c>
      <c r="J118" s="23" t="s">
        <v>246</v>
      </c>
      <c r="K118" s="23">
        <v>0</v>
      </c>
      <c r="L118" s="23">
        <v>0</v>
      </c>
      <c r="M118" s="23">
        <v>400</v>
      </c>
      <c r="N118" s="23">
        <v>600</v>
      </c>
      <c r="O118" s="23" t="s">
        <v>31</v>
      </c>
      <c r="P118" s="23" t="s">
        <v>247</v>
      </c>
      <c r="Q118" s="23" t="s">
        <v>248</v>
      </c>
      <c r="R118" s="23" t="s">
        <v>31</v>
      </c>
      <c r="S118" s="23" t="s">
        <v>31</v>
      </c>
      <c r="T118" s="23" t="s">
        <v>31</v>
      </c>
      <c r="U118" s="23" t="s">
        <v>31</v>
      </c>
      <c r="V118" s="23" t="s">
        <v>31</v>
      </c>
      <c r="W118" s="23" t="s">
        <v>31</v>
      </c>
      <c r="X118" s="23" t="s">
        <v>31</v>
      </c>
      <c r="Y118" s="23" t="s">
        <v>249</v>
      </c>
    </row>
    <row r="119" spans="1:25" hidden="1" x14ac:dyDescent="0.25">
      <c r="A119" s="24" t="s">
        <v>241</v>
      </c>
      <c r="B119" s="23" t="s">
        <v>242</v>
      </c>
      <c r="C119" s="23" t="s">
        <v>243</v>
      </c>
      <c r="D119" s="23" t="s">
        <v>244</v>
      </c>
      <c r="E119" s="23" t="s">
        <v>245</v>
      </c>
      <c r="F119" s="23">
        <v>2023</v>
      </c>
      <c r="G119" s="31" t="s">
        <v>82</v>
      </c>
      <c r="H119" s="211" t="s">
        <v>82</v>
      </c>
      <c r="I119" s="32" t="s">
        <v>31</v>
      </c>
      <c r="J119" s="24" t="s">
        <v>246</v>
      </c>
      <c r="K119" s="23">
        <v>0</v>
      </c>
      <c r="L119" s="23">
        <v>0</v>
      </c>
      <c r="M119" s="23">
        <v>400</v>
      </c>
      <c r="N119" s="23">
        <v>600</v>
      </c>
      <c r="O119" s="23" t="s">
        <v>31</v>
      </c>
      <c r="P119" s="23" t="s">
        <v>247</v>
      </c>
      <c r="Q119" s="23" t="s">
        <v>248</v>
      </c>
      <c r="R119" s="23" t="s">
        <v>31</v>
      </c>
      <c r="S119" s="23" t="s">
        <v>31</v>
      </c>
      <c r="T119" s="23" t="s">
        <v>31</v>
      </c>
      <c r="U119" s="23" t="s">
        <v>31</v>
      </c>
      <c r="V119" s="23" t="s">
        <v>31</v>
      </c>
      <c r="W119" s="23" t="s">
        <v>31</v>
      </c>
      <c r="X119" s="23" t="s">
        <v>31</v>
      </c>
      <c r="Y119" s="23" t="s">
        <v>249</v>
      </c>
    </row>
    <row r="120" spans="1:25" hidden="1" x14ac:dyDescent="0.25">
      <c r="A120" s="24" t="s">
        <v>241</v>
      </c>
      <c r="B120" s="23" t="s">
        <v>242</v>
      </c>
      <c r="C120" s="23" t="s">
        <v>243</v>
      </c>
      <c r="D120" s="23" t="s">
        <v>244</v>
      </c>
      <c r="E120" s="23" t="s">
        <v>245</v>
      </c>
      <c r="F120" s="23">
        <v>2023</v>
      </c>
      <c r="G120" s="31" t="s">
        <v>109</v>
      </c>
      <c r="H120" s="33" t="s">
        <v>109</v>
      </c>
      <c r="I120" s="32" t="s">
        <v>31</v>
      </c>
      <c r="J120" s="24" t="s">
        <v>246</v>
      </c>
      <c r="K120" s="23">
        <v>0</v>
      </c>
      <c r="L120" s="23">
        <v>0</v>
      </c>
      <c r="M120" s="23">
        <v>400</v>
      </c>
      <c r="N120" s="23">
        <v>600</v>
      </c>
      <c r="O120" s="23" t="s">
        <v>31</v>
      </c>
      <c r="P120" s="23" t="s">
        <v>247</v>
      </c>
      <c r="Q120" s="23" t="s">
        <v>248</v>
      </c>
      <c r="R120" s="23" t="s">
        <v>31</v>
      </c>
      <c r="S120" s="23" t="s">
        <v>31</v>
      </c>
      <c r="T120" s="23" t="s">
        <v>31</v>
      </c>
      <c r="U120" s="23" t="s">
        <v>31</v>
      </c>
      <c r="V120" s="23" t="s">
        <v>31</v>
      </c>
      <c r="W120" s="23" t="s">
        <v>31</v>
      </c>
      <c r="X120" s="23" t="s">
        <v>31</v>
      </c>
      <c r="Y120" s="23" t="s">
        <v>249</v>
      </c>
    </row>
    <row r="121" spans="1:25" hidden="1" x14ac:dyDescent="0.25">
      <c r="A121" s="24" t="s">
        <v>241</v>
      </c>
      <c r="B121" s="23" t="s">
        <v>242</v>
      </c>
      <c r="C121" s="23" t="s">
        <v>243</v>
      </c>
      <c r="D121" s="23" t="s">
        <v>244</v>
      </c>
      <c r="E121" s="23" t="s">
        <v>245</v>
      </c>
      <c r="F121" s="23">
        <v>2023</v>
      </c>
      <c r="G121" s="31" t="s">
        <v>56</v>
      </c>
      <c r="H121" s="21" t="s">
        <v>57</v>
      </c>
      <c r="I121" s="22" t="s">
        <v>31</v>
      </c>
      <c r="J121" s="23" t="s">
        <v>246</v>
      </c>
      <c r="K121" s="23">
        <v>0</v>
      </c>
      <c r="L121" s="23">
        <v>0</v>
      </c>
      <c r="M121" s="23">
        <v>400</v>
      </c>
      <c r="N121" s="23">
        <v>600</v>
      </c>
      <c r="O121" s="23" t="s">
        <v>31</v>
      </c>
      <c r="P121" s="23" t="s">
        <v>247</v>
      </c>
      <c r="Q121" s="23" t="s">
        <v>248</v>
      </c>
      <c r="R121" s="23" t="s">
        <v>31</v>
      </c>
      <c r="S121" s="23" t="s">
        <v>31</v>
      </c>
      <c r="T121" s="23" t="s">
        <v>31</v>
      </c>
      <c r="U121" s="23" t="s">
        <v>31</v>
      </c>
      <c r="V121" s="23" t="s">
        <v>31</v>
      </c>
      <c r="W121" s="23" t="s">
        <v>31</v>
      </c>
      <c r="X121" s="23" t="s">
        <v>31</v>
      </c>
      <c r="Y121" s="23" t="s">
        <v>249</v>
      </c>
    </row>
    <row r="122" spans="1:25" hidden="1" x14ac:dyDescent="0.25">
      <c r="A122" s="24" t="s">
        <v>241</v>
      </c>
      <c r="B122" s="23" t="s">
        <v>242</v>
      </c>
      <c r="C122" s="23" t="s">
        <v>243</v>
      </c>
      <c r="D122" s="23" t="s">
        <v>244</v>
      </c>
      <c r="E122" s="23" t="s">
        <v>245</v>
      </c>
      <c r="F122" s="23">
        <v>2023</v>
      </c>
      <c r="G122" s="31" t="s">
        <v>296</v>
      </c>
      <c r="H122" s="24" t="s">
        <v>66</v>
      </c>
      <c r="I122" s="23" t="s">
        <v>31</v>
      </c>
      <c r="J122" s="23" t="s">
        <v>246</v>
      </c>
      <c r="K122" s="23">
        <v>0</v>
      </c>
      <c r="L122" s="23">
        <v>0</v>
      </c>
      <c r="M122" s="23">
        <v>800</v>
      </c>
      <c r="N122" s="23">
        <v>800</v>
      </c>
      <c r="O122" s="23" t="s">
        <v>31</v>
      </c>
      <c r="P122" s="23" t="s">
        <v>247</v>
      </c>
      <c r="Q122" s="23" t="s">
        <v>297</v>
      </c>
      <c r="R122" s="23" t="s">
        <v>31</v>
      </c>
      <c r="S122" s="23" t="s">
        <v>31</v>
      </c>
      <c r="T122" s="23" t="s">
        <v>31</v>
      </c>
      <c r="U122" s="23" t="s">
        <v>31</v>
      </c>
      <c r="V122" s="23" t="s">
        <v>31</v>
      </c>
      <c r="W122" s="23" t="s">
        <v>31</v>
      </c>
      <c r="X122" s="23" t="s">
        <v>31</v>
      </c>
      <c r="Y122" s="23" t="s">
        <v>249</v>
      </c>
    </row>
    <row r="123" spans="1:25" hidden="1" x14ac:dyDescent="0.25">
      <c r="A123" s="24" t="s">
        <v>241</v>
      </c>
      <c r="B123" s="23" t="s">
        <v>242</v>
      </c>
      <c r="C123" s="23" t="s">
        <v>243</v>
      </c>
      <c r="D123" s="23" t="s">
        <v>244</v>
      </c>
      <c r="E123" s="23" t="s">
        <v>245</v>
      </c>
      <c r="F123" s="23">
        <v>2023</v>
      </c>
      <c r="G123" s="34" t="s">
        <v>105</v>
      </c>
      <c r="H123" s="211" t="s">
        <v>57</v>
      </c>
      <c r="I123" s="32" t="s">
        <v>31</v>
      </c>
      <c r="J123" s="24" t="s">
        <v>246</v>
      </c>
      <c r="K123" s="23">
        <v>0</v>
      </c>
      <c r="L123" s="23">
        <v>0</v>
      </c>
      <c r="M123" s="29">
        <v>1200</v>
      </c>
      <c r="N123" s="29">
        <v>1000</v>
      </c>
      <c r="O123" s="23" t="s">
        <v>31</v>
      </c>
      <c r="P123" s="23" t="s">
        <v>247</v>
      </c>
      <c r="Q123" s="23" t="s">
        <v>294</v>
      </c>
      <c r="R123" s="23" t="s">
        <v>31</v>
      </c>
      <c r="S123" s="23" t="s">
        <v>31</v>
      </c>
      <c r="T123" s="23" t="s">
        <v>31</v>
      </c>
      <c r="U123" s="23" t="s">
        <v>31</v>
      </c>
      <c r="V123" s="23" t="s">
        <v>31</v>
      </c>
      <c r="W123" s="23" t="s">
        <v>31</v>
      </c>
      <c r="X123" s="23" t="s">
        <v>31</v>
      </c>
      <c r="Y123" s="23" t="s">
        <v>298</v>
      </c>
    </row>
    <row r="124" spans="1:25" hidden="1" x14ac:dyDescent="0.25">
      <c r="A124" s="24" t="s">
        <v>241</v>
      </c>
      <c r="B124" s="23" t="s">
        <v>242</v>
      </c>
      <c r="C124" s="23" t="s">
        <v>243</v>
      </c>
      <c r="D124" s="23" t="s">
        <v>244</v>
      </c>
      <c r="E124" s="23" t="s">
        <v>245</v>
      </c>
      <c r="F124" s="23">
        <v>2023</v>
      </c>
      <c r="G124" s="22" t="s">
        <v>56</v>
      </c>
      <c r="H124" s="31" t="s">
        <v>57</v>
      </c>
      <c r="I124" s="32" t="s">
        <v>31</v>
      </c>
      <c r="J124" s="24" t="s">
        <v>246</v>
      </c>
      <c r="K124" s="23">
        <v>0</v>
      </c>
      <c r="L124" s="23">
        <v>0</v>
      </c>
      <c r="M124" s="29">
        <v>1200</v>
      </c>
      <c r="N124" s="29">
        <v>1000</v>
      </c>
      <c r="O124" s="23" t="s">
        <v>31</v>
      </c>
      <c r="P124" s="23" t="s">
        <v>247</v>
      </c>
      <c r="Q124" s="23" t="s">
        <v>294</v>
      </c>
      <c r="R124" s="23" t="s">
        <v>31</v>
      </c>
      <c r="S124" s="23" t="s">
        <v>31</v>
      </c>
      <c r="T124" s="23" t="s">
        <v>31</v>
      </c>
      <c r="U124" s="23" t="s">
        <v>31</v>
      </c>
      <c r="V124" s="23" t="s">
        <v>31</v>
      </c>
      <c r="W124" s="23" t="s">
        <v>31</v>
      </c>
      <c r="X124" s="23" t="s">
        <v>31</v>
      </c>
      <c r="Y124" s="23" t="s">
        <v>298</v>
      </c>
    </row>
    <row r="125" spans="1:25" hidden="1" x14ac:dyDescent="0.25">
      <c r="A125" s="24" t="s">
        <v>241</v>
      </c>
      <c r="B125" s="23" t="s">
        <v>242</v>
      </c>
      <c r="C125" s="23" t="s">
        <v>243</v>
      </c>
      <c r="D125" s="23" t="s">
        <v>244</v>
      </c>
      <c r="E125" s="23" t="s">
        <v>245</v>
      </c>
      <c r="F125" s="23">
        <v>2023</v>
      </c>
      <c r="G125" s="210" t="s">
        <v>299</v>
      </c>
      <c r="H125" s="33" t="s">
        <v>299</v>
      </c>
      <c r="I125" s="32" t="s">
        <v>31</v>
      </c>
      <c r="J125" s="24" t="s">
        <v>275</v>
      </c>
      <c r="K125" s="23">
        <v>2</v>
      </c>
      <c r="L125" s="23">
        <v>2</v>
      </c>
      <c r="M125" s="29">
        <v>3800</v>
      </c>
      <c r="N125" s="29">
        <v>4100</v>
      </c>
      <c r="O125" s="23" t="s">
        <v>31</v>
      </c>
      <c r="P125" s="23" t="s">
        <v>247</v>
      </c>
      <c r="Q125" s="23" t="s">
        <v>276</v>
      </c>
      <c r="R125" s="23" t="s">
        <v>31</v>
      </c>
      <c r="S125" s="23" t="s">
        <v>31</v>
      </c>
      <c r="T125" s="23" t="s">
        <v>31</v>
      </c>
      <c r="U125" s="23" t="s">
        <v>31</v>
      </c>
      <c r="V125" s="23" t="s">
        <v>31</v>
      </c>
      <c r="W125" s="23" t="s">
        <v>31</v>
      </c>
      <c r="X125" s="23" t="s">
        <v>31</v>
      </c>
      <c r="Y125" s="23" t="s">
        <v>300</v>
      </c>
    </row>
    <row r="126" spans="1:25" hidden="1" x14ac:dyDescent="0.25">
      <c r="A126" s="24" t="s">
        <v>241</v>
      </c>
      <c r="B126" s="23" t="s">
        <v>242</v>
      </c>
      <c r="C126" s="23" t="s">
        <v>278</v>
      </c>
      <c r="D126" s="23" t="s">
        <v>244</v>
      </c>
      <c r="E126" s="23" t="s">
        <v>245</v>
      </c>
      <c r="F126" s="23">
        <v>2023</v>
      </c>
      <c r="G126" s="31" t="s">
        <v>299</v>
      </c>
      <c r="H126" s="33" t="s">
        <v>299</v>
      </c>
      <c r="I126" s="32" t="s">
        <v>31</v>
      </c>
      <c r="J126" s="24" t="s">
        <v>246</v>
      </c>
      <c r="K126" s="23" t="s">
        <v>31</v>
      </c>
      <c r="L126" s="23">
        <v>2</v>
      </c>
      <c r="M126" s="29">
        <v>1500</v>
      </c>
      <c r="N126" s="29">
        <v>2000</v>
      </c>
      <c r="O126" s="23" t="s">
        <v>31</v>
      </c>
      <c r="P126" s="23" t="s">
        <v>247</v>
      </c>
      <c r="Q126" s="23" t="s">
        <v>279</v>
      </c>
      <c r="R126" s="23" t="s">
        <v>31</v>
      </c>
      <c r="S126" s="23" t="s">
        <v>31</v>
      </c>
      <c r="T126" s="23" t="s">
        <v>31</v>
      </c>
      <c r="U126" s="23" t="s">
        <v>31</v>
      </c>
      <c r="V126" s="23" t="s">
        <v>31</v>
      </c>
      <c r="W126" s="23" t="s">
        <v>31</v>
      </c>
      <c r="X126" s="23" t="s">
        <v>31</v>
      </c>
      <c r="Y126" s="23" t="s">
        <v>301</v>
      </c>
    </row>
    <row r="127" spans="1:25" hidden="1" x14ac:dyDescent="0.25">
      <c r="A127" s="24" t="s">
        <v>241</v>
      </c>
      <c r="B127" s="23" t="s">
        <v>242</v>
      </c>
      <c r="C127" s="23" t="s">
        <v>243</v>
      </c>
      <c r="D127" s="23" t="s">
        <v>244</v>
      </c>
      <c r="E127" s="23" t="s">
        <v>245</v>
      </c>
      <c r="F127" s="23">
        <v>2023</v>
      </c>
      <c r="G127" s="31" t="s">
        <v>302</v>
      </c>
      <c r="H127" s="33" t="s">
        <v>302</v>
      </c>
      <c r="I127" s="32" t="s">
        <v>31</v>
      </c>
      <c r="J127" s="24" t="s">
        <v>275</v>
      </c>
      <c r="K127" s="23">
        <v>2</v>
      </c>
      <c r="L127" s="23">
        <v>2</v>
      </c>
      <c r="M127" s="29">
        <v>3800</v>
      </c>
      <c r="N127" s="29">
        <v>4100</v>
      </c>
      <c r="O127" s="23" t="s">
        <v>31</v>
      </c>
      <c r="P127" s="23" t="s">
        <v>247</v>
      </c>
      <c r="Q127" s="23" t="s">
        <v>276</v>
      </c>
      <c r="R127" s="23" t="s">
        <v>31</v>
      </c>
      <c r="S127" s="23" t="s">
        <v>31</v>
      </c>
      <c r="T127" s="23" t="s">
        <v>31</v>
      </c>
      <c r="U127" s="23" t="s">
        <v>31</v>
      </c>
      <c r="V127" s="23" t="s">
        <v>31</v>
      </c>
      <c r="W127" s="23" t="s">
        <v>31</v>
      </c>
      <c r="X127" s="23" t="s">
        <v>31</v>
      </c>
      <c r="Y127" s="23" t="s">
        <v>300</v>
      </c>
    </row>
    <row r="128" spans="1:25" hidden="1" x14ac:dyDescent="0.25">
      <c r="A128" s="24" t="s">
        <v>241</v>
      </c>
      <c r="B128" s="23" t="s">
        <v>242</v>
      </c>
      <c r="C128" s="23" t="s">
        <v>278</v>
      </c>
      <c r="D128" s="23" t="s">
        <v>244</v>
      </c>
      <c r="E128" s="23" t="s">
        <v>245</v>
      </c>
      <c r="F128" s="23">
        <v>2023</v>
      </c>
      <c r="G128" s="31" t="s">
        <v>302</v>
      </c>
      <c r="H128" s="33" t="s">
        <v>302</v>
      </c>
      <c r="I128" s="32" t="s">
        <v>31</v>
      </c>
      <c r="J128" s="24" t="s">
        <v>246</v>
      </c>
      <c r="K128" s="23" t="s">
        <v>31</v>
      </c>
      <c r="L128" s="23">
        <v>2</v>
      </c>
      <c r="M128" s="29">
        <v>1500</v>
      </c>
      <c r="N128" s="29">
        <v>2000</v>
      </c>
      <c r="O128" s="23" t="s">
        <v>31</v>
      </c>
      <c r="P128" s="23" t="s">
        <v>247</v>
      </c>
      <c r="Q128" s="23" t="s">
        <v>279</v>
      </c>
      <c r="R128" s="23" t="s">
        <v>31</v>
      </c>
      <c r="S128" s="23" t="s">
        <v>31</v>
      </c>
      <c r="T128" s="23" t="s">
        <v>31</v>
      </c>
      <c r="U128" s="23" t="s">
        <v>31</v>
      </c>
      <c r="V128" s="23" t="s">
        <v>31</v>
      </c>
      <c r="W128" s="23" t="s">
        <v>31</v>
      </c>
      <c r="X128" s="23" t="s">
        <v>31</v>
      </c>
      <c r="Y128" s="23" t="s">
        <v>303</v>
      </c>
    </row>
    <row r="129" spans="1:25" hidden="1" x14ac:dyDescent="0.25">
      <c r="A129" s="24" t="s">
        <v>241</v>
      </c>
      <c r="B129" s="23" t="s">
        <v>242</v>
      </c>
      <c r="C129" s="23" t="s">
        <v>243</v>
      </c>
      <c r="D129" s="23" t="s">
        <v>244</v>
      </c>
      <c r="E129" s="23" t="s">
        <v>245</v>
      </c>
      <c r="F129" s="23">
        <v>2023</v>
      </c>
      <c r="G129" s="31" t="s">
        <v>304</v>
      </c>
      <c r="H129" s="33" t="s">
        <v>51</v>
      </c>
      <c r="I129" s="32" t="s">
        <v>31</v>
      </c>
      <c r="J129" s="24" t="s">
        <v>246</v>
      </c>
      <c r="K129" s="23">
        <v>0</v>
      </c>
      <c r="L129" s="23">
        <v>0</v>
      </c>
      <c r="M129" s="23">
        <v>400</v>
      </c>
      <c r="N129" s="23">
        <v>600</v>
      </c>
      <c r="O129" s="23" t="s">
        <v>31</v>
      </c>
      <c r="P129" s="23" t="s">
        <v>247</v>
      </c>
      <c r="Q129" s="23" t="s">
        <v>248</v>
      </c>
      <c r="R129" s="23" t="s">
        <v>31</v>
      </c>
      <c r="S129" s="23" t="s">
        <v>31</v>
      </c>
      <c r="T129" s="23" t="s">
        <v>31</v>
      </c>
      <c r="U129" s="23" t="s">
        <v>31</v>
      </c>
      <c r="V129" s="23" t="s">
        <v>31</v>
      </c>
      <c r="W129" s="23" t="s">
        <v>31</v>
      </c>
      <c r="X129" s="30" t="s">
        <v>31</v>
      </c>
      <c r="Y129" s="212" t="s">
        <v>305</v>
      </c>
    </row>
    <row r="130" spans="1:25" hidden="1" x14ac:dyDescent="0.25">
      <c r="A130" s="24" t="s">
        <v>241</v>
      </c>
      <c r="B130" s="23" t="s">
        <v>242</v>
      </c>
      <c r="C130" s="23" t="s">
        <v>243</v>
      </c>
      <c r="D130" s="23" t="s">
        <v>244</v>
      </c>
      <c r="E130" s="23" t="s">
        <v>245</v>
      </c>
      <c r="F130" s="23">
        <v>2023</v>
      </c>
      <c r="G130" s="31" t="s">
        <v>306</v>
      </c>
      <c r="H130" s="33" t="s">
        <v>51</v>
      </c>
      <c r="I130" s="32" t="s">
        <v>31</v>
      </c>
      <c r="J130" s="24" t="s">
        <v>246</v>
      </c>
      <c r="K130" s="23">
        <v>0</v>
      </c>
      <c r="L130" s="23">
        <v>0</v>
      </c>
      <c r="M130" s="23">
        <v>400</v>
      </c>
      <c r="N130" s="23">
        <v>600</v>
      </c>
      <c r="O130" s="23" t="s">
        <v>31</v>
      </c>
      <c r="P130" s="23" t="s">
        <v>247</v>
      </c>
      <c r="Q130" s="23" t="s">
        <v>248</v>
      </c>
      <c r="R130" s="23" t="s">
        <v>31</v>
      </c>
      <c r="S130" s="23" t="s">
        <v>31</v>
      </c>
      <c r="T130" s="23" t="s">
        <v>31</v>
      </c>
      <c r="U130" s="23" t="s">
        <v>31</v>
      </c>
      <c r="V130" s="23" t="s">
        <v>31</v>
      </c>
      <c r="W130" s="23" t="s">
        <v>31</v>
      </c>
      <c r="X130" s="30" t="s">
        <v>31</v>
      </c>
      <c r="Y130" s="35" t="s">
        <v>307</v>
      </c>
    </row>
    <row r="131" spans="1:25" hidden="1" x14ac:dyDescent="0.25">
      <c r="A131" s="24" t="s">
        <v>241</v>
      </c>
      <c r="B131" s="23" t="s">
        <v>242</v>
      </c>
      <c r="C131" s="23" t="s">
        <v>243</v>
      </c>
      <c r="D131" s="23" t="s">
        <v>244</v>
      </c>
      <c r="E131" s="23" t="s">
        <v>245</v>
      </c>
      <c r="F131" s="23">
        <v>2023</v>
      </c>
      <c r="G131" s="31" t="s">
        <v>70</v>
      </c>
      <c r="H131" s="33" t="s">
        <v>57</v>
      </c>
      <c r="I131" s="32" t="s">
        <v>31</v>
      </c>
      <c r="J131" s="24" t="s">
        <v>246</v>
      </c>
      <c r="K131" s="23">
        <v>0</v>
      </c>
      <c r="L131" s="23">
        <v>0</v>
      </c>
      <c r="M131" s="23">
        <v>400</v>
      </c>
      <c r="N131" s="23">
        <v>600</v>
      </c>
      <c r="O131" s="23" t="s">
        <v>31</v>
      </c>
      <c r="P131" s="23" t="s">
        <v>247</v>
      </c>
      <c r="Q131" s="23" t="s">
        <v>248</v>
      </c>
      <c r="R131" s="23" t="s">
        <v>31</v>
      </c>
      <c r="S131" s="23" t="s">
        <v>31</v>
      </c>
      <c r="T131" s="23" t="s">
        <v>31</v>
      </c>
      <c r="U131" s="23" t="s">
        <v>31</v>
      </c>
      <c r="V131" s="23" t="s">
        <v>31</v>
      </c>
      <c r="W131" s="23" t="s">
        <v>31</v>
      </c>
      <c r="X131" s="30" t="s">
        <v>31</v>
      </c>
      <c r="Y131" s="35" t="s">
        <v>305</v>
      </c>
    </row>
    <row r="132" spans="1:25" hidden="1" x14ac:dyDescent="0.25">
      <c r="A132" s="24" t="s">
        <v>241</v>
      </c>
      <c r="B132" s="23" t="s">
        <v>242</v>
      </c>
      <c r="C132" s="23" t="s">
        <v>243</v>
      </c>
      <c r="D132" s="23" t="s">
        <v>244</v>
      </c>
      <c r="E132" s="23" t="s">
        <v>245</v>
      </c>
      <c r="F132" s="23">
        <v>2023</v>
      </c>
      <c r="G132" s="31" t="s">
        <v>282</v>
      </c>
      <c r="H132" s="33" t="s">
        <v>57</v>
      </c>
      <c r="I132" s="32" t="s">
        <v>31</v>
      </c>
      <c r="J132" s="24" t="s">
        <v>246</v>
      </c>
      <c r="K132" s="23">
        <v>0</v>
      </c>
      <c r="L132" s="23">
        <v>0</v>
      </c>
      <c r="M132" s="23">
        <v>400</v>
      </c>
      <c r="N132" s="23">
        <v>600</v>
      </c>
      <c r="O132" s="23" t="s">
        <v>31</v>
      </c>
      <c r="P132" s="23" t="s">
        <v>247</v>
      </c>
      <c r="Q132" s="23" t="s">
        <v>248</v>
      </c>
      <c r="R132" s="23" t="s">
        <v>31</v>
      </c>
      <c r="S132" s="23" t="s">
        <v>31</v>
      </c>
      <c r="T132" s="23" t="s">
        <v>31</v>
      </c>
      <c r="U132" s="23" t="s">
        <v>31</v>
      </c>
      <c r="V132" s="23" t="s">
        <v>31</v>
      </c>
      <c r="W132" s="23" t="s">
        <v>31</v>
      </c>
      <c r="X132" s="30" t="s">
        <v>31</v>
      </c>
      <c r="Y132" s="35" t="s">
        <v>307</v>
      </c>
    </row>
    <row r="133" spans="1:25" hidden="1" x14ac:dyDescent="0.25">
      <c r="A133" s="24" t="s">
        <v>241</v>
      </c>
      <c r="B133" s="23" t="s">
        <v>242</v>
      </c>
      <c r="C133" s="23" t="s">
        <v>243</v>
      </c>
      <c r="D133" s="23" t="s">
        <v>244</v>
      </c>
      <c r="E133" s="23" t="s">
        <v>245</v>
      </c>
      <c r="F133" s="23">
        <v>2023</v>
      </c>
      <c r="G133" s="31" t="s">
        <v>308</v>
      </c>
      <c r="H133" s="33" t="s">
        <v>57</v>
      </c>
      <c r="I133" s="32" t="s">
        <v>31</v>
      </c>
      <c r="J133" s="24" t="s">
        <v>246</v>
      </c>
      <c r="K133" s="23">
        <v>0</v>
      </c>
      <c r="L133" s="23">
        <v>0</v>
      </c>
      <c r="M133" s="23">
        <v>400</v>
      </c>
      <c r="N133" s="23">
        <v>600</v>
      </c>
      <c r="O133" s="23" t="s">
        <v>31</v>
      </c>
      <c r="P133" s="23" t="s">
        <v>247</v>
      </c>
      <c r="Q133" s="23" t="s">
        <v>248</v>
      </c>
      <c r="R133" s="23" t="s">
        <v>31</v>
      </c>
      <c r="S133" s="23" t="s">
        <v>31</v>
      </c>
      <c r="T133" s="23" t="s">
        <v>31</v>
      </c>
      <c r="U133" s="23" t="s">
        <v>31</v>
      </c>
      <c r="V133" s="23" t="s">
        <v>31</v>
      </c>
      <c r="W133" s="23" t="s">
        <v>31</v>
      </c>
      <c r="X133" s="30" t="s">
        <v>31</v>
      </c>
      <c r="Y133" s="35" t="s">
        <v>307</v>
      </c>
    </row>
    <row r="134" spans="1:25" hidden="1" x14ac:dyDescent="0.25">
      <c r="A134" s="24" t="s">
        <v>241</v>
      </c>
      <c r="B134" s="23" t="s">
        <v>242</v>
      </c>
      <c r="C134" s="23" t="s">
        <v>243</v>
      </c>
      <c r="D134" s="23" t="s">
        <v>244</v>
      </c>
      <c r="E134" s="23" t="s">
        <v>245</v>
      </c>
      <c r="F134" s="23">
        <v>2023</v>
      </c>
      <c r="G134" s="31" t="s">
        <v>103</v>
      </c>
      <c r="H134" s="33" t="s">
        <v>57</v>
      </c>
      <c r="I134" s="32" t="s">
        <v>31</v>
      </c>
      <c r="J134" s="24" t="s">
        <v>246</v>
      </c>
      <c r="K134" s="23">
        <v>0</v>
      </c>
      <c r="L134" s="23">
        <v>0</v>
      </c>
      <c r="M134" s="23">
        <v>400</v>
      </c>
      <c r="N134" s="23">
        <v>600</v>
      </c>
      <c r="O134" s="23" t="s">
        <v>31</v>
      </c>
      <c r="P134" s="23" t="s">
        <v>247</v>
      </c>
      <c r="Q134" s="23" t="s">
        <v>248</v>
      </c>
      <c r="R134" s="23" t="s">
        <v>31</v>
      </c>
      <c r="S134" s="23" t="s">
        <v>31</v>
      </c>
      <c r="T134" s="23" t="s">
        <v>31</v>
      </c>
      <c r="U134" s="23" t="s">
        <v>31</v>
      </c>
      <c r="V134" s="23" t="s">
        <v>31</v>
      </c>
      <c r="W134" s="23" t="s">
        <v>31</v>
      </c>
      <c r="X134" s="30" t="s">
        <v>31</v>
      </c>
      <c r="Y134" s="35" t="s">
        <v>307</v>
      </c>
    </row>
    <row r="135" spans="1:25" hidden="1" x14ac:dyDescent="0.25">
      <c r="A135" s="24" t="s">
        <v>241</v>
      </c>
      <c r="B135" s="23" t="s">
        <v>242</v>
      </c>
      <c r="C135" s="23" t="s">
        <v>243</v>
      </c>
      <c r="D135" s="23" t="s">
        <v>244</v>
      </c>
      <c r="E135" s="23" t="s">
        <v>245</v>
      </c>
      <c r="F135" s="23">
        <v>2023</v>
      </c>
      <c r="G135" s="31" t="s">
        <v>309</v>
      </c>
      <c r="H135" s="33" t="s">
        <v>57</v>
      </c>
      <c r="I135" s="32" t="s">
        <v>31</v>
      </c>
      <c r="J135" s="24" t="s">
        <v>246</v>
      </c>
      <c r="K135" s="23">
        <v>0</v>
      </c>
      <c r="L135" s="23">
        <v>0</v>
      </c>
      <c r="M135" s="23">
        <v>400</v>
      </c>
      <c r="N135" s="23">
        <v>600</v>
      </c>
      <c r="O135" s="23" t="s">
        <v>31</v>
      </c>
      <c r="P135" s="23" t="s">
        <v>247</v>
      </c>
      <c r="Q135" s="23" t="s">
        <v>248</v>
      </c>
      <c r="R135" s="23" t="s">
        <v>31</v>
      </c>
      <c r="S135" s="23" t="s">
        <v>31</v>
      </c>
      <c r="T135" s="23" t="s">
        <v>31</v>
      </c>
      <c r="U135" s="23" t="s">
        <v>31</v>
      </c>
      <c r="V135" s="23" t="s">
        <v>31</v>
      </c>
      <c r="W135" s="23" t="s">
        <v>31</v>
      </c>
      <c r="X135" s="30" t="s">
        <v>31</v>
      </c>
      <c r="Y135" s="35" t="s">
        <v>307</v>
      </c>
    </row>
    <row r="136" spans="1:25" ht="34.5" hidden="1" x14ac:dyDescent="0.25">
      <c r="A136" s="24" t="s">
        <v>241</v>
      </c>
      <c r="B136" s="23" t="s">
        <v>242</v>
      </c>
      <c r="C136" s="23" t="s">
        <v>243</v>
      </c>
      <c r="D136" s="23" t="s">
        <v>244</v>
      </c>
      <c r="E136" s="23" t="s">
        <v>245</v>
      </c>
      <c r="F136" s="23">
        <v>2023</v>
      </c>
      <c r="G136" s="67" t="s">
        <v>255</v>
      </c>
      <c r="H136" s="68" t="s">
        <v>53</v>
      </c>
      <c r="I136" s="32" t="s">
        <v>31</v>
      </c>
      <c r="J136" s="24" t="s">
        <v>246</v>
      </c>
      <c r="K136" s="23">
        <v>0</v>
      </c>
      <c r="L136" s="23">
        <v>0</v>
      </c>
      <c r="M136" s="23">
        <v>400</v>
      </c>
      <c r="N136" s="23">
        <v>600</v>
      </c>
      <c r="O136" s="23" t="s">
        <v>31</v>
      </c>
      <c r="P136" s="23" t="s">
        <v>247</v>
      </c>
      <c r="Q136" s="23" t="s">
        <v>248</v>
      </c>
      <c r="R136" s="23" t="s">
        <v>31</v>
      </c>
      <c r="S136" s="23" t="s">
        <v>31</v>
      </c>
      <c r="T136" s="23" t="s">
        <v>31</v>
      </c>
      <c r="U136" s="23" t="s">
        <v>31</v>
      </c>
      <c r="V136" s="23" t="s">
        <v>31</v>
      </c>
      <c r="W136" s="23" t="s">
        <v>31</v>
      </c>
      <c r="X136" s="30" t="s">
        <v>31</v>
      </c>
      <c r="Y136" s="36" t="s">
        <v>310</v>
      </c>
    </row>
    <row r="137" spans="1:25" ht="23.25" hidden="1" x14ac:dyDescent="0.25">
      <c r="A137" s="24" t="s">
        <v>241</v>
      </c>
      <c r="B137" s="23" t="s">
        <v>242</v>
      </c>
      <c r="C137" s="23" t="s">
        <v>243</v>
      </c>
      <c r="D137" s="23" t="s">
        <v>244</v>
      </c>
      <c r="E137" s="23" t="s">
        <v>245</v>
      </c>
      <c r="F137" s="23">
        <v>2023</v>
      </c>
      <c r="G137" s="31" t="s">
        <v>43</v>
      </c>
      <c r="H137" s="33" t="s">
        <v>59</v>
      </c>
      <c r="I137" s="32" t="s">
        <v>31</v>
      </c>
      <c r="J137" s="24" t="s">
        <v>246</v>
      </c>
      <c r="K137" s="23">
        <v>0</v>
      </c>
      <c r="L137" s="23">
        <v>0</v>
      </c>
      <c r="M137" s="23">
        <v>400</v>
      </c>
      <c r="N137" s="23">
        <v>600</v>
      </c>
      <c r="O137" s="23" t="s">
        <v>31</v>
      </c>
      <c r="P137" s="23" t="s">
        <v>247</v>
      </c>
      <c r="Q137" s="23" t="s">
        <v>248</v>
      </c>
      <c r="R137" s="23" t="s">
        <v>31</v>
      </c>
      <c r="S137" s="23" t="s">
        <v>31</v>
      </c>
      <c r="T137" s="23" t="s">
        <v>31</v>
      </c>
      <c r="U137" s="23" t="s">
        <v>31</v>
      </c>
      <c r="V137" s="23" t="s">
        <v>31</v>
      </c>
      <c r="W137" s="23" t="s">
        <v>31</v>
      </c>
      <c r="X137" s="30" t="s">
        <v>31</v>
      </c>
      <c r="Y137" s="36" t="s">
        <v>311</v>
      </c>
    </row>
    <row r="138" spans="1:25" hidden="1" x14ac:dyDescent="0.25">
      <c r="A138" s="24" t="s">
        <v>241</v>
      </c>
      <c r="B138" s="23" t="s">
        <v>242</v>
      </c>
      <c r="C138" s="23" t="s">
        <v>243</v>
      </c>
      <c r="D138" s="23" t="s">
        <v>244</v>
      </c>
      <c r="E138" s="23" t="s">
        <v>245</v>
      </c>
      <c r="F138" s="23">
        <v>2023</v>
      </c>
      <c r="G138" s="31" t="s">
        <v>58</v>
      </c>
      <c r="H138" s="33" t="s">
        <v>59</v>
      </c>
      <c r="I138" s="32" t="s">
        <v>31</v>
      </c>
      <c r="J138" s="24" t="s">
        <v>246</v>
      </c>
      <c r="K138" s="23">
        <v>0</v>
      </c>
      <c r="L138" s="23">
        <v>0</v>
      </c>
      <c r="M138" s="23">
        <v>400</v>
      </c>
      <c r="N138" s="23">
        <v>600</v>
      </c>
      <c r="O138" s="23" t="s">
        <v>31</v>
      </c>
      <c r="P138" s="23" t="s">
        <v>247</v>
      </c>
      <c r="Q138" s="23" t="s">
        <v>248</v>
      </c>
      <c r="R138" s="23" t="s">
        <v>31</v>
      </c>
      <c r="S138" s="23" t="s">
        <v>31</v>
      </c>
      <c r="T138" s="23" t="s">
        <v>31</v>
      </c>
      <c r="U138" s="23" t="s">
        <v>31</v>
      </c>
      <c r="V138" s="23" t="s">
        <v>31</v>
      </c>
      <c r="W138" s="23" t="s">
        <v>31</v>
      </c>
      <c r="X138" s="30" t="s">
        <v>31</v>
      </c>
      <c r="Y138" s="35" t="s">
        <v>305</v>
      </c>
    </row>
    <row r="139" spans="1:25" hidden="1" x14ac:dyDescent="0.25">
      <c r="A139" s="24" t="s">
        <v>241</v>
      </c>
      <c r="B139" s="23" t="s">
        <v>242</v>
      </c>
      <c r="C139" s="23" t="s">
        <v>243</v>
      </c>
      <c r="D139" s="23" t="s">
        <v>244</v>
      </c>
      <c r="E139" s="23" t="s">
        <v>245</v>
      </c>
      <c r="F139" s="23">
        <v>2023</v>
      </c>
      <c r="G139" s="31" t="s">
        <v>312</v>
      </c>
      <c r="H139" s="33" t="s">
        <v>144</v>
      </c>
      <c r="I139" s="32" t="s">
        <v>31</v>
      </c>
      <c r="J139" s="24" t="s">
        <v>246</v>
      </c>
      <c r="K139" s="23">
        <v>0</v>
      </c>
      <c r="L139" s="23">
        <v>0</v>
      </c>
      <c r="M139" s="23">
        <v>400</v>
      </c>
      <c r="N139" s="23">
        <v>600</v>
      </c>
      <c r="O139" s="23" t="s">
        <v>31</v>
      </c>
      <c r="P139" s="23" t="s">
        <v>247</v>
      </c>
      <c r="Q139" s="23" t="s">
        <v>248</v>
      </c>
      <c r="R139" s="23" t="s">
        <v>31</v>
      </c>
      <c r="S139" s="23" t="s">
        <v>31</v>
      </c>
      <c r="T139" s="23" t="s">
        <v>31</v>
      </c>
      <c r="U139" s="23" t="s">
        <v>31</v>
      </c>
      <c r="V139" s="23" t="s">
        <v>31</v>
      </c>
      <c r="W139" s="23" t="s">
        <v>31</v>
      </c>
      <c r="X139" s="30" t="s">
        <v>31</v>
      </c>
      <c r="Y139" s="35" t="s">
        <v>307</v>
      </c>
    </row>
    <row r="140" spans="1:25" hidden="1" x14ac:dyDescent="0.25">
      <c r="A140" s="24" t="s">
        <v>241</v>
      </c>
      <c r="B140" s="23" t="s">
        <v>242</v>
      </c>
      <c r="C140" s="23" t="s">
        <v>243</v>
      </c>
      <c r="D140" s="23" t="s">
        <v>244</v>
      </c>
      <c r="E140" s="23" t="s">
        <v>245</v>
      </c>
      <c r="F140" s="23">
        <v>2023</v>
      </c>
      <c r="G140" s="31" t="s">
        <v>109</v>
      </c>
      <c r="H140" s="33" t="s">
        <v>109</v>
      </c>
      <c r="I140" s="32" t="s">
        <v>31</v>
      </c>
      <c r="J140" s="24" t="s">
        <v>246</v>
      </c>
      <c r="K140" s="23">
        <v>0</v>
      </c>
      <c r="L140" s="23">
        <v>0</v>
      </c>
      <c r="M140" s="23">
        <v>400</v>
      </c>
      <c r="N140" s="23">
        <v>600</v>
      </c>
      <c r="O140" s="23" t="s">
        <v>31</v>
      </c>
      <c r="P140" s="23" t="s">
        <v>247</v>
      </c>
      <c r="Q140" s="23" t="s">
        <v>248</v>
      </c>
      <c r="R140" s="23" t="s">
        <v>31</v>
      </c>
      <c r="S140" s="23" t="s">
        <v>31</v>
      </c>
      <c r="T140" s="23" t="s">
        <v>31</v>
      </c>
      <c r="U140" s="23" t="s">
        <v>31</v>
      </c>
      <c r="V140" s="23" t="s">
        <v>31</v>
      </c>
      <c r="W140" s="23" t="s">
        <v>31</v>
      </c>
      <c r="X140" s="30" t="s">
        <v>31</v>
      </c>
      <c r="Y140" s="35" t="s">
        <v>313</v>
      </c>
    </row>
    <row r="141" spans="1:25" hidden="1" x14ac:dyDescent="0.25">
      <c r="A141" s="24" t="s">
        <v>241</v>
      </c>
      <c r="B141" s="23" t="s">
        <v>242</v>
      </c>
      <c r="C141" s="23" t="s">
        <v>243</v>
      </c>
      <c r="D141" s="23" t="s">
        <v>244</v>
      </c>
      <c r="E141" s="23" t="s">
        <v>245</v>
      </c>
      <c r="F141" s="23">
        <v>2023</v>
      </c>
      <c r="G141" s="31" t="s">
        <v>207</v>
      </c>
      <c r="H141" s="33" t="s">
        <v>207</v>
      </c>
      <c r="I141" s="32" t="s">
        <v>31</v>
      </c>
      <c r="J141" s="24" t="s">
        <v>246</v>
      </c>
      <c r="K141" s="23">
        <v>0</v>
      </c>
      <c r="L141" s="23">
        <v>0</v>
      </c>
      <c r="M141" s="23">
        <v>400</v>
      </c>
      <c r="N141" s="23">
        <v>600</v>
      </c>
      <c r="O141" s="23" t="s">
        <v>31</v>
      </c>
      <c r="P141" s="23" t="s">
        <v>247</v>
      </c>
      <c r="Q141" s="23" t="s">
        <v>248</v>
      </c>
      <c r="R141" s="23" t="s">
        <v>31</v>
      </c>
      <c r="S141" s="23" t="s">
        <v>31</v>
      </c>
      <c r="T141" s="23" t="s">
        <v>31</v>
      </c>
      <c r="U141" s="23" t="s">
        <v>31</v>
      </c>
      <c r="V141" s="23" t="s">
        <v>31</v>
      </c>
      <c r="W141" s="23" t="s">
        <v>31</v>
      </c>
      <c r="X141" s="30" t="s">
        <v>31</v>
      </c>
      <c r="Y141" s="35" t="s">
        <v>314</v>
      </c>
    </row>
    <row r="142" spans="1:25" hidden="1" x14ac:dyDescent="0.25">
      <c r="A142" s="24" t="s">
        <v>241</v>
      </c>
      <c r="B142" s="23" t="s">
        <v>242</v>
      </c>
      <c r="C142" s="23" t="s">
        <v>243</v>
      </c>
      <c r="D142" s="23" t="s">
        <v>244</v>
      </c>
      <c r="E142" s="23" t="s">
        <v>245</v>
      </c>
      <c r="F142" s="23">
        <v>2023</v>
      </c>
      <c r="G142" s="31" t="s">
        <v>315</v>
      </c>
      <c r="H142" s="33" t="s">
        <v>66</v>
      </c>
      <c r="I142" s="32" t="s">
        <v>31</v>
      </c>
      <c r="J142" s="24" t="s">
        <v>246</v>
      </c>
      <c r="K142" s="23">
        <v>0</v>
      </c>
      <c r="L142" s="23">
        <v>0</v>
      </c>
      <c r="M142" s="23">
        <v>400</v>
      </c>
      <c r="N142" s="23">
        <v>600</v>
      </c>
      <c r="O142" s="23" t="s">
        <v>31</v>
      </c>
      <c r="P142" s="23" t="s">
        <v>247</v>
      </c>
      <c r="Q142" s="23" t="s">
        <v>248</v>
      </c>
      <c r="R142" s="23" t="s">
        <v>31</v>
      </c>
      <c r="S142" s="23" t="s">
        <v>31</v>
      </c>
      <c r="T142" s="23" t="s">
        <v>31</v>
      </c>
      <c r="U142" s="23" t="s">
        <v>31</v>
      </c>
      <c r="V142" s="23" t="s">
        <v>31</v>
      </c>
      <c r="W142" s="23" t="s">
        <v>31</v>
      </c>
      <c r="X142" s="30" t="s">
        <v>31</v>
      </c>
      <c r="Y142" s="35" t="s">
        <v>305</v>
      </c>
    </row>
    <row r="143" spans="1:25" hidden="1" x14ac:dyDescent="0.25">
      <c r="A143" s="24" t="s">
        <v>241</v>
      </c>
      <c r="B143" s="23" t="s">
        <v>242</v>
      </c>
      <c r="C143" s="23" t="s">
        <v>243</v>
      </c>
      <c r="D143" s="23" t="s">
        <v>244</v>
      </c>
      <c r="E143" s="23" t="s">
        <v>245</v>
      </c>
      <c r="F143" s="23">
        <v>2023</v>
      </c>
      <c r="G143" s="31" t="s">
        <v>316</v>
      </c>
      <c r="H143" s="33" t="s">
        <v>316</v>
      </c>
      <c r="I143" s="32" t="s">
        <v>31</v>
      </c>
      <c r="J143" s="24" t="s">
        <v>246</v>
      </c>
      <c r="K143" s="23">
        <v>0</v>
      </c>
      <c r="L143" s="23">
        <v>0</v>
      </c>
      <c r="M143" s="23">
        <v>400</v>
      </c>
      <c r="N143" s="23">
        <v>600</v>
      </c>
      <c r="O143" s="23" t="s">
        <v>31</v>
      </c>
      <c r="P143" s="23" t="s">
        <v>247</v>
      </c>
      <c r="Q143" s="23" t="s">
        <v>248</v>
      </c>
      <c r="R143" s="23" t="s">
        <v>31</v>
      </c>
      <c r="S143" s="23" t="s">
        <v>31</v>
      </c>
      <c r="T143" s="23" t="s">
        <v>31</v>
      </c>
      <c r="U143" s="23" t="s">
        <v>31</v>
      </c>
      <c r="V143" s="23" t="s">
        <v>31</v>
      </c>
      <c r="W143" s="23" t="s">
        <v>31</v>
      </c>
      <c r="X143" s="30" t="s">
        <v>31</v>
      </c>
      <c r="Y143" s="35" t="s">
        <v>317</v>
      </c>
    </row>
    <row r="144" spans="1:25" hidden="1" x14ac:dyDescent="0.25">
      <c r="A144" s="24" t="s">
        <v>241</v>
      </c>
      <c r="B144" s="23" t="s">
        <v>242</v>
      </c>
      <c r="C144" s="23" t="s">
        <v>243</v>
      </c>
      <c r="D144" s="23" t="s">
        <v>244</v>
      </c>
      <c r="E144" s="23" t="s">
        <v>245</v>
      </c>
      <c r="F144" s="23">
        <v>2023</v>
      </c>
      <c r="G144" s="31" t="s">
        <v>318</v>
      </c>
      <c r="H144" s="33" t="s">
        <v>143</v>
      </c>
      <c r="I144" s="32" t="s">
        <v>31</v>
      </c>
      <c r="J144" s="24" t="s">
        <v>246</v>
      </c>
      <c r="K144" s="23">
        <v>0</v>
      </c>
      <c r="L144" s="23">
        <v>0</v>
      </c>
      <c r="M144" s="23">
        <v>400</v>
      </c>
      <c r="N144" s="23">
        <v>600</v>
      </c>
      <c r="O144" s="23" t="s">
        <v>31</v>
      </c>
      <c r="P144" s="23" t="s">
        <v>247</v>
      </c>
      <c r="Q144" s="23" t="s">
        <v>248</v>
      </c>
      <c r="R144" s="23" t="s">
        <v>31</v>
      </c>
      <c r="S144" s="23" t="s">
        <v>31</v>
      </c>
      <c r="T144" s="23" t="s">
        <v>31</v>
      </c>
      <c r="U144" s="23" t="s">
        <v>31</v>
      </c>
      <c r="V144" s="23" t="s">
        <v>31</v>
      </c>
      <c r="W144" s="23" t="s">
        <v>31</v>
      </c>
      <c r="X144" s="30" t="s">
        <v>31</v>
      </c>
      <c r="Y144" s="35" t="s">
        <v>305</v>
      </c>
    </row>
    <row r="145" spans="1:25" hidden="1" x14ac:dyDescent="0.25">
      <c r="A145" s="24" t="s">
        <v>241</v>
      </c>
      <c r="B145" s="23" t="s">
        <v>242</v>
      </c>
      <c r="C145" s="23" t="s">
        <v>243</v>
      </c>
      <c r="D145" s="23" t="s">
        <v>244</v>
      </c>
      <c r="E145" s="23" t="s">
        <v>245</v>
      </c>
      <c r="F145" s="23">
        <v>2023</v>
      </c>
      <c r="G145" s="31" t="s">
        <v>319</v>
      </c>
      <c r="H145" s="33" t="s">
        <v>319</v>
      </c>
      <c r="I145" s="32" t="s">
        <v>31</v>
      </c>
      <c r="J145" s="24" t="s">
        <v>246</v>
      </c>
      <c r="K145" s="23">
        <v>0</v>
      </c>
      <c r="L145" s="23">
        <v>0</v>
      </c>
      <c r="M145" s="23">
        <v>400</v>
      </c>
      <c r="N145" s="23">
        <v>600</v>
      </c>
      <c r="O145" s="23" t="s">
        <v>31</v>
      </c>
      <c r="P145" s="23" t="s">
        <v>247</v>
      </c>
      <c r="Q145" s="23" t="s">
        <v>248</v>
      </c>
      <c r="R145" s="23" t="s">
        <v>31</v>
      </c>
      <c r="S145" s="23" t="s">
        <v>31</v>
      </c>
      <c r="T145" s="23" t="s">
        <v>31</v>
      </c>
      <c r="U145" s="23" t="s">
        <v>31</v>
      </c>
      <c r="V145" s="23" t="s">
        <v>31</v>
      </c>
      <c r="W145" s="23" t="s">
        <v>31</v>
      </c>
      <c r="X145" s="30" t="s">
        <v>31</v>
      </c>
      <c r="Y145" s="35" t="s">
        <v>314</v>
      </c>
    </row>
    <row r="146" spans="1:25" hidden="1" x14ac:dyDescent="0.25">
      <c r="A146" s="24" t="s">
        <v>241</v>
      </c>
      <c r="B146" s="23" t="s">
        <v>242</v>
      </c>
      <c r="C146" s="23" t="s">
        <v>243</v>
      </c>
      <c r="D146" s="23" t="s">
        <v>244</v>
      </c>
      <c r="E146" s="23" t="s">
        <v>245</v>
      </c>
      <c r="F146" s="23">
        <v>2023</v>
      </c>
      <c r="G146" s="31" t="s">
        <v>35</v>
      </c>
      <c r="H146" s="33" t="s">
        <v>35</v>
      </c>
      <c r="I146" s="32" t="s">
        <v>31</v>
      </c>
      <c r="J146" s="24" t="s">
        <v>246</v>
      </c>
      <c r="K146" s="23">
        <v>0</v>
      </c>
      <c r="L146" s="23">
        <v>0</v>
      </c>
      <c r="M146" s="23">
        <v>400</v>
      </c>
      <c r="N146" s="23">
        <v>600</v>
      </c>
      <c r="O146" s="23" t="s">
        <v>31</v>
      </c>
      <c r="P146" s="23" t="s">
        <v>247</v>
      </c>
      <c r="Q146" s="23" t="s">
        <v>248</v>
      </c>
      <c r="R146" s="23" t="s">
        <v>31</v>
      </c>
      <c r="S146" s="23" t="s">
        <v>31</v>
      </c>
      <c r="T146" s="23" t="s">
        <v>31</v>
      </c>
      <c r="U146" s="23" t="s">
        <v>31</v>
      </c>
      <c r="V146" s="23" t="s">
        <v>31</v>
      </c>
      <c r="W146" s="23" t="s">
        <v>31</v>
      </c>
      <c r="X146" s="30" t="s">
        <v>31</v>
      </c>
      <c r="Y146" s="35" t="s">
        <v>320</v>
      </c>
    </row>
    <row r="147" spans="1:25" hidden="1" x14ac:dyDescent="0.25">
      <c r="A147" s="24" t="s">
        <v>241</v>
      </c>
      <c r="B147" s="23" t="s">
        <v>242</v>
      </c>
      <c r="C147" s="23" t="s">
        <v>243</v>
      </c>
      <c r="D147" s="23" t="s">
        <v>244</v>
      </c>
      <c r="E147" s="23" t="s">
        <v>245</v>
      </c>
      <c r="F147" s="23">
        <v>2023</v>
      </c>
      <c r="G147" s="31" t="s">
        <v>321</v>
      </c>
      <c r="H147" s="33" t="s">
        <v>321</v>
      </c>
      <c r="I147" s="32" t="s">
        <v>31</v>
      </c>
      <c r="J147" s="24" t="s">
        <v>246</v>
      </c>
      <c r="K147" s="23">
        <v>0</v>
      </c>
      <c r="L147" s="23">
        <v>0</v>
      </c>
      <c r="M147" s="23">
        <v>400</v>
      </c>
      <c r="N147" s="23">
        <v>600</v>
      </c>
      <c r="O147" s="23" t="s">
        <v>31</v>
      </c>
      <c r="P147" s="23" t="s">
        <v>247</v>
      </c>
      <c r="Q147" s="23" t="s">
        <v>248</v>
      </c>
      <c r="R147" s="23" t="s">
        <v>31</v>
      </c>
      <c r="S147" s="23" t="s">
        <v>31</v>
      </c>
      <c r="T147" s="23" t="s">
        <v>31</v>
      </c>
      <c r="U147" s="23" t="s">
        <v>31</v>
      </c>
      <c r="V147" s="23" t="s">
        <v>31</v>
      </c>
      <c r="W147" s="23" t="s">
        <v>31</v>
      </c>
      <c r="X147" s="30" t="s">
        <v>31</v>
      </c>
      <c r="Y147" s="35" t="s">
        <v>305</v>
      </c>
    </row>
    <row r="148" spans="1:25" hidden="1" x14ac:dyDescent="0.25">
      <c r="A148" s="24" t="s">
        <v>241</v>
      </c>
      <c r="B148" s="23" t="s">
        <v>242</v>
      </c>
      <c r="C148" s="23" t="s">
        <v>243</v>
      </c>
      <c r="D148" s="23" t="s">
        <v>244</v>
      </c>
      <c r="E148" s="23" t="s">
        <v>245</v>
      </c>
      <c r="F148" s="23">
        <v>2023</v>
      </c>
      <c r="G148" s="31" t="s">
        <v>113</v>
      </c>
      <c r="H148" s="33" t="s">
        <v>66</v>
      </c>
      <c r="I148" s="32" t="s">
        <v>31</v>
      </c>
      <c r="J148" s="24" t="s">
        <v>246</v>
      </c>
      <c r="K148" s="23">
        <v>0</v>
      </c>
      <c r="L148" s="23">
        <v>0</v>
      </c>
      <c r="M148" s="23">
        <v>400</v>
      </c>
      <c r="N148" s="23">
        <v>600</v>
      </c>
      <c r="O148" s="23" t="s">
        <v>31</v>
      </c>
      <c r="P148" s="23" t="s">
        <v>247</v>
      </c>
      <c r="Q148" s="23" t="s">
        <v>248</v>
      </c>
      <c r="R148" s="23" t="s">
        <v>31</v>
      </c>
      <c r="S148" s="23" t="s">
        <v>31</v>
      </c>
      <c r="T148" s="23" t="s">
        <v>31</v>
      </c>
      <c r="U148" s="23" t="s">
        <v>31</v>
      </c>
      <c r="V148" s="23" t="s">
        <v>31</v>
      </c>
      <c r="W148" s="23" t="s">
        <v>31</v>
      </c>
      <c r="X148" s="30" t="s">
        <v>31</v>
      </c>
      <c r="Y148" s="35" t="s">
        <v>322</v>
      </c>
    </row>
    <row r="149" spans="1:25" hidden="1" x14ac:dyDescent="0.25">
      <c r="A149" s="24" t="s">
        <v>241</v>
      </c>
      <c r="B149" s="23" t="s">
        <v>242</v>
      </c>
      <c r="C149" s="23" t="s">
        <v>243</v>
      </c>
      <c r="D149" s="23" t="s">
        <v>244</v>
      </c>
      <c r="E149" s="23" t="s">
        <v>245</v>
      </c>
      <c r="F149" s="23">
        <v>2023</v>
      </c>
      <c r="G149" s="31" t="s">
        <v>43</v>
      </c>
      <c r="H149" s="33" t="s">
        <v>66</v>
      </c>
      <c r="I149" s="32" t="s">
        <v>31</v>
      </c>
      <c r="J149" s="24" t="s">
        <v>246</v>
      </c>
      <c r="K149" s="23">
        <v>0</v>
      </c>
      <c r="L149" s="23">
        <v>0</v>
      </c>
      <c r="M149" s="23">
        <v>400</v>
      </c>
      <c r="N149" s="23">
        <v>600</v>
      </c>
      <c r="O149" s="23" t="s">
        <v>31</v>
      </c>
      <c r="P149" s="23" t="s">
        <v>247</v>
      </c>
      <c r="Q149" s="23" t="s">
        <v>248</v>
      </c>
      <c r="R149" s="23" t="s">
        <v>31</v>
      </c>
      <c r="S149" s="23" t="s">
        <v>31</v>
      </c>
      <c r="T149" s="23" t="s">
        <v>31</v>
      </c>
      <c r="U149" s="23" t="s">
        <v>31</v>
      </c>
      <c r="V149" s="23" t="s">
        <v>31</v>
      </c>
      <c r="W149" s="23" t="s">
        <v>31</v>
      </c>
      <c r="X149" s="30" t="s">
        <v>31</v>
      </c>
      <c r="Y149" s="35" t="s">
        <v>320</v>
      </c>
    </row>
    <row r="150" spans="1:25" hidden="1" x14ac:dyDescent="0.25">
      <c r="A150" s="24" t="s">
        <v>241</v>
      </c>
      <c r="B150" s="23" t="s">
        <v>242</v>
      </c>
      <c r="C150" s="23" t="s">
        <v>243</v>
      </c>
      <c r="D150" s="23" t="s">
        <v>244</v>
      </c>
      <c r="E150" s="23" t="s">
        <v>245</v>
      </c>
      <c r="F150" s="23">
        <v>2023</v>
      </c>
      <c r="G150" s="31" t="s">
        <v>43</v>
      </c>
      <c r="H150" s="33" t="s">
        <v>66</v>
      </c>
      <c r="I150" s="32" t="s">
        <v>31</v>
      </c>
      <c r="J150" s="24" t="s">
        <v>246</v>
      </c>
      <c r="K150" s="23">
        <v>0</v>
      </c>
      <c r="L150" s="23">
        <v>0</v>
      </c>
      <c r="M150" s="23">
        <v>400</v>
      </c>
      <c r="N150" s="23">
        <v>600</v>
      </c>
      <c r="O150" s="23" t="s">
        <v>31</v>
      </c>
      <c r="P150" s="23" t="s">
        <v>247</v>
      </c>
      <c r="Q150" s="23" t="s">
        <v>248</v>
      </c>
      <c r="R150" s="23" t="s">
        <v>31</v>
      </c>
      <c r="S150" s="23" t="s">
        <v>31</v>
      </c>
      <c r="T150" s="23" t="s">
        <v>31</v>
      </c>
      <c r="U150" s="23" t="s">
        <v>31</v>
      </c>
      <c r="V150" s="23" t="s">
        <v>31</v>
      </c>
      <c r="W150" s="23" t="s">
        <v>31</v>
      </c>
      <c r="X150" s="30" t="s">
        <v>31</v>
      </c>
      <c r="Y150" s="35" t="s">
        <v>322</v>
      </c>
    </row>
    <row r="151" spans="1:25" hidden="1" x14ac:dyDescent="0.25">
      <c r="A151" s="24" t="s">
        <v>241</v>
      </c>
      <c r="B151" s="23" t="s">
        <v>242</v>
      </c>
      <c r="C151" s="23" t="s">
        <v>243</v>
      </c>
      <c r="D151" s="23" t="s">
        <v>244</v>
      </c>
      <c r="E151" s="23" t="s">
        <v>245</v>
      </c>
      <c r="F151" s="23">
        <v>2023</v>
      </c>
      <c r="G151" s="31" t="s">
        <v>127</v>
      </c>
      <c r="H151" s="33" t="s">
        <v>66</v>
      </c>
      <c r="I151" s="32" t="s">
        <v>31</v>
      </c>
      <c r="J151" s="24" t="s">
        <v>246</v>
      </c>
      <c r="K151" s="23">
        <v>0</v>
      </c>
      <c r="L151" s="23">
        <v>0</v>
      </c>
      <c r="M151" s="23">
        <v>400</v>
      </c>
      <c r="N151" s="23">
        <v>600</v>
      </c>
      <c r="O151" s="23" t="s">
        <v>31</v>
      </c>
      <c r="P151" s="23" t="s">
        <v>247</v>
      </c>
      <c r="Q151" s="23" t="s">
        <v>248</v>
      </c>
      <c r="R151" s="23" t="s">
        <v>31</v>
      </c>
      <c r="S151" s="23" t="s">
        <v>31</v>
      </c>
      <c r="T151" s="23" t="s">
        <v>31</v>
      </c>
      <c r="U151" s="23" t="s">
        <v>31</v>
      </c>
      <c r="V151" s="23" t="s">
        <v>31</v>
      </c>
      <c r="W151" s="23" t="s">
        <v>31</v>
      </c>
      <c r="X151" s="30" t="s">
        <v>31</v>
      </c>
      <c r="Y151" s="35" t="s">
        <v>323</v>
      </c>
    </row>
    <row r="152" spans="1:25" hidden="1" x14ac:dyDescent="0.25">
      <c r="A152" s="24" t="s">
        <v>241</v>
      </c>
      <c r="B152" s="23" t="s">
        <v>242</v>
      </c>
      <c r="C152" s="23" t="s">
        <v>243</v>
      </c>
      <c r="D152" s="23" t="s">
        <v>244</v>
      </c>
      <c r="E152" s="23" t="s">
        <v>245</v>
      </c>
      <c r="F152" s="23">
        <v>2023</v>
      </c>
      <c r="G152" s="31" t="s">
        <v>115</v>
      </c>
      <c r="H152" s="33" t="s">
        <v>66</v>
      </c>
      <c r="I152" s="32" t="s">
        <v>31</v>
      </c>
      <c r="J152" s="24" t="s">
        <v>246</v>
      </c>
      <c r="K152" s="23">
        <v>0</v>
      </c>
      <c r="L152" s="23">
        <v>0</v>
      </c>
      <c r="M152" s="23">
        <v>400</v>
      </c>
      <c r="N152" s="23">
        <v>600</v>
      </c>
      <c r="O152" s="23" t="s">
        <v>31</v>
      </c>
      <c r="P152" s="23" t="s">
        <v>247</v>
      </c>
      <c r="Q152" s="23" t="s">
        <v>248</v>
      </c>
      <c r="R152" s="23" t="s">
        <v>31</v>
      </c>
      <c r="S152" s="23" t="s">
        <v>31</v>
      </c>
      <c r="T152" s="23" t="s">
        <v>31</v>
      </c>
      <c r="U152" s="23" t="s">
        <v>31</v>
      </c>
      <c r="V152" s="23" t="s">
        <v>31</v>
      </c>
      <c r="W152" s="23" t="s">
        <v>31</v>
      </c>
      <c r="X152" s="30" t="s">
        <v>31</v>
      </c>
      <c r="Y152" s="35" t="s">
        <v>322</v>
      </c>
    </row>
    <row r="153" spans="1:25" x14ac:dyDescent="0.25">
      <c r="A153" s="24" t="s">
        <v>241</v>
      </c>
      <c r="B153" s="23" t="s">
        <v>242</v>
      </c>
      <c r="C153" s="23" t="s">
        <v>243</v>
      </c>
      <c r="D153" s="23" t="s">
        <v>244</v>
      </c>
      <c r="E153" s="23" t="s">
        <v>245</v>
      </c>
      <c r="F153" s="23">
        <v>2023</v>
      </c>
      <c r="G153" s="31" t="s">
        <v>46</v>
      </c>
      <c r="H153" s="33" t="s">
        <v>66</v>
      </c>
      <c r="I153" s="32" t="s">
        <v>31</v>
      </c>
      <c r="J153" s="24" t="s">
        <v>246</v>
      </c>
      <c r="K153" s="23">
        <v>0</v>
      </c>
      <c r="L153" s="23">
        <v>0</v>
      </c>
      <c r="M153" s="23">
        <v>400</v>
      </c>
      <c r="N153" s="23">
        <v>600</v>
      </c>
      <c r="O153" s="23" t="s">
        <v>31</v>
      </c>
      <c r="P153" s="23" t="s">
        <v>247</v>
      </c>
      <c r="Q153" s="23" t="s">
        <v>248</v>
      </c>
      <c r="R153" s="23" t="s">
        <v>31</v>
      </c>
      <c r="S153" s="23" t="s">
        <v>31</v>
      </c>
      <c r="T153" s="23" t="s">
        <v>31</v>
      </c>
      <c r="U153" s="23" t="s">
        <v>31</v>
      </c>
      <c r="V153" s="23" t="s">
        <v>31</v>
      </c>
      <c r="W153" s="23" t="s">
        <v>31</v>
      </c>
      <c r="X153" s="30" t="s">
        <v>31</v>
      </c>
      <c r="Y153" s="35" t="s">
        <v>305</v>
      </c>
    </row>
    <row r="154" spans="1:25" x14ac:dyDescent="0.25">
      <c r="A154" s="24" t="s">
        <v>241</v>
      </c>
      <c r="B154" s="23" t="s">
        <v>242</v>
      </c>
      <c r="C154" s="23" t="s">
        <v>243</v>
      </c>
      <c r="D154" s="23" t="s">
        <v>244</v>
      </c>
      <c r="E154" s="23" t="s">
        <v>245</v>
      </c>
      <c r="F154" s="23">
        <v>2023</v>
      </c>
      <c r="G154" s="31" t="s">
        <v>46</v>
      </c>
      <c r="H154" s="33" t="s">
        <v>66</v>
      </c>
      <c r="I154" s="32" t="s">
        <v>31</v>
      </c>
      <c r="J154" s="24" t="s">
        <v>246</v>
      </c>
      <c r="K154" s="23">
        <v>0</v>
      </c>
      <c r="L154" s="23">
        <v>0</v>
      </c>
      <c r="M154" s="23">
        <v>400</v>
      </c>
      <c r="N154" s="23">
        <v>600</v>
      </c>
      <c r="O154" s="23" t="s">
        <v>31</v>
      </c>
      <c r="P154" s="23" t="s">
        <v>247</v>
      </c>
      <c r="Q154" s="23" t="s">
        <v>248</v>
      </c>
      <c r="R154" s="23" t="s">
        <v>31</v>
      </c>
      <c r="S154" s="23" t="s">
        <v>31</v>
      </c>
      <c r="T154" s="23" t="s">
        <v>31</v>
      </c>
      <c r="U154" s="23" t="s">
        <v>31</v>
      </c>
      <c r="V154" s="23" t="s">
        <v>31</v>
      </c>
      <c r="W154" s="23" t="s">
        <v>31</v>
      </c>
      <c r="X154" s="30" t="s">
        <v>31</v>
      </c>
      <c r="Y154" s="35" t="s">
        <v>324</v>
      </c>
    </row>
    <row r="155" spans="1:25" x14ac:dyDescent="0.25">
      <c r="A155" s="24" t="s">
        <v>241</v>
      </c>
      <c r="B155" s="23" t="s">
        <v>242</v>
      </c>
      <c r="C155" s="23" t="s">
        <v>243</v>
      </c>
      <c r="D155" s="23" t="s">
        <v>244</v>
      </c>
      <c r="E155" s="23" t="s">
        <v>245</v>
      </c>
      <c r="F155" s="23">
        <v>2023</v>
      </c>
      <c r="G155" s="31" t="s">
        <v>46</v>
      </c>
      <c r="H155" s="33" t="s">
        <v>66</v>
      </c>
      <c r="I155" s="32" t="s">
        <v>31</v>
      </c>
      <c r="J155" s="24" t="s">
        <v>246</v>
      </c>
      <c r="K155" s="23">
        <v>0</v>
      </c>
      <c r="L155" s="23">
        <v>0</v>
      </c>
      <c r="M155" s="23">
        <v>400</v>
      </c>
      <c r="N155" s="23">
        <v>600</v>
      </c>
      <c r="O155" s="23" t="s">
        <v>31</v>
      </c>
      <c r="P155" s="23" t="s">
        <v>247</v>
      </c>
      <c r="Q155" s="23" t="s">
        <v>248</v>
      </c>
      <c r="R155" s="23" t="s">
        <v>31</v>
      </c>
      <c r="S155" s="23" t="s">
        <v>31</v>
      </c>
      <c r="T155" s="23" t="s">
        <v>31</v>
      </c>
      <c r="U155" s="23" t="s">
        <v>31</v>
      </c>
      <c r="V155" s="23" t="s">
        <v>31</v>
      </c>
      <c r="W155" s="23" t="s">
        <v>31</v>
      </c>
      <c r="X155" s="30" t="s">
        <v>31</v>
      </c>
      <c r="Y155" s="35" t="s">
        <v>324</v>
      </c>
    </row>
    <row r="156" spans="1:25" hidden="1" x14ac:dyDescent="0.25">
      <c r="A156" s="24" t="s">
        <v>241</v>
      </c>
      <c r="B156" s="23" t="s">
        <v>242</v>
      </c>
      <c r="C156" s="23" t="s">
        <v>243</v>
      </c>
      <c r="D156" s="23" t="s">
        <v>244</v>
      </c>
      <c r="E156" s="23" t="s">
        <v>245</v>
      </c>
      <c r="F156" s="23">
        <v>2023</v>
      </c>
      <c r="G156" s="31" t="s">
        <v>72</v>
      </c>
      <c r="H156" s="33" t="s">
        <v>66</v>
      </c>
      <c r="I156" s="32" t="s">
        <v>31</v>
      </c>
      <c r="J156" s="24" t="s">
        <v>246</v>
      </c>
      <c r="K156" s="23">
        <v>0</v>
      </c>
      <c r="L156" s="23">
        <v>0</v>
      </c>
      <c r="M156" s="23">
        <v>400</v>
      </c>
      <c r="N156" s="23">
        <v>600</v>
      </c>
      <c r="O156" s="23" t="s">
        <v>31</v>
      </c>
      <c r="P156" s="23" t="s">
        <v>247</v>
      </c>
      <c r="Q156" s="23" t="s">
        <v>248</v>
      </c>
      <c r="R156" s="23" t="s">
        <v>31</v>
      </c>
      <c r="S156" s="23" t="s">
        <v>31</v>
      </c>
      <c r="T156" s="23" t="s">
        <v>31</v>
      </c>
      <c r="U156" s="23" t="s">
        <v>31</v>
      </c>
      <c r="V156" s="23" t="s">
        <v>31</v>
      </c>
      <c r="W156" s="23" t="s">
        <v>31</v>
      </c>
      <c r="X156" s="30" t="s">
        <v>31</v>
      </c>
      <c r="Y156" s="35" t="s">
        <v>320</v>
      </c>
    </row>
    <row r="157" spans="1:25" hidden="1" x14ac:dyDescent="0.25">
      <c r="A157" s="24" t="s">
        <v>241</v>
      </c>
      <c r="B157" s="23" t="s">
        <v>242</v>
      </c>
      <c r="C157" s="23" t="s">
        <v>243</v>
      </c>
      <c r="D157" s="23" t="s">
        <v>244</v>
      </c>
      <c r="E157" s="23" t="s">
        <v>245</v>
      </c>
      <c r="F157" s="23">
        <v>2023</v>
      </c>
      <c r="G157" s="31" t="s">
        <v>72</v>
      </c>
      <c r="H157" s="33" t="s">
        <v>66</v>
      </c>
      <c r="I157" s="32" t="s">
        <v>31</v>
      </c>
      <c r="J157" s="24" t="s">
        <v>246</v>
      </c>
      <c r="K157" s="23">
        <v>0</v>
      </c>
      <c r="L157" s="23">
        <v>0</v>
      </c>
      <c r="M157" s="23">
        <v>400</v>
      </c>
      <c r="N157" s="23">
        <v>600</v>
      </c>
      <c r="O157" s="23" t="s">
        <v>31</v>
      </c>
      <c r="P157" s="23" t="s">
        <v>247</v>
      </c>
      <c r="Q157" s="23" t="s">
        <v>248</v>
      </c>
      <c r="R157" s="23" t="s">
        <v>31</v>
      </c>
      <c r="S157" s="23" t="s">
        <v>31</v>
      </c>
      <c r="T157" s="23" t="s">
        <v>31</v>
      </c>
      <c r="U157" s="23" t="s">
        <v>31</v>
      </c>
      <c r="V157" s="23" t="s">
        <v>31</v>
      </c>
      <c r="W157" s="23" t="s">
        <v>31</v>
      </c>
      <c r="X157" s="30" t="s">
        <v>31</v>
      </c>
      <c r="Y157" s="35" t="s">
        <v>324</v>
      </c>
    </row>
    <row r="158" spans="1:25" hidden="1" x14ac:dyDescent="0.25">
      <c r="A158" s="24" t="s">
        <v>241</v>
      </c>
      <c r="B158" s="23" t="s">
        <v>242</v>
      </c>
      <c r="C158" s="23" t="s">
        <v>243</v>
      </c>
      <c r="D158" s="23" t="s">
        <v>244</v>
      </c>
      <c r="E158" s="23" t="s">
        <v>245</v>
      </c>
      <c r="F158" s="23">
        <v>2023</v>
      </c>
      <c r="G158" s="31" t="s">
        <v>112</v>
      </c>
      <c r="H158" s="33" t="s">
        <v>66</v>
      </c>
      <c r="I158" s="32" t="s">
        <v>31</v>
      </c>
      <c r="J158" s="24" t="s">
        <v>246</v>
      </c>
      <c r="K158" s="23">
        <v>0</v>
      </c>
      <c r="L158" s="23">
        <v>0</v>
      </c>
      <c r="M158" s="23">
        <v>400</v>
      </c>
      <c r="N158" s="23">
        <v>600</v>
      </c>
      <c r="O158" s="23" t="s">
        <v>31</v>
      </c>
      <c r="P158" s="23" t="s">
        <v>247</v>
      </c>
      <c r="Q158" s="23" t="s">
        <v>248</v>
      </c>
      <c r="R158" s="23" t="s">
        <v>31</v>
      </c>
      <c r="S158" s="23" t="s">
        <v>31</v>
      </c>
      <c r="T158" s="23" t="s">
        <v>31</v>
      </c>
      <c r="U158" s="23" t="s">
        <v>31</v>
      </c>
      <c r="V158" s="23" t="s">
        <v>31</v>
      </c>
      <c r="W158" s="23" t="s">
        <v>31</v>
      </c>
      <c r="X158" s="30" t="s">
        <v>31</v>
      </c>
      <c r="Y158" s="35" t="s">
        <v>324</v>
      </c>
    </row>
    <row r="159" spans="1:25" hidden="1" x14ac:dyDescent="0.25">
      <c r="A159" s="24" t="s">
        <v>241</v>
      </c>
      <c r="B159" s="23" t="s">
        <v>242</v>
      </c>
      <c r="C159" s="23" t="s">
        <v>243</v>
      </c>
      <c r="D159" s="23" t="s">
        <v>244</v>
      </c>
      <c r="E159" s="23" t="s">
        <v>245</v>
      </c>
      <c r="F159" s="23">
        <v>2023</v>
      </c>
      <c r="G159" s="31" t="s">
        <v>129</v>
      </c>
      <c r="H159" s="33" t="s">
        <v>66</v>
      </c>
      <c r="I159" s="32" t="s">
        <v>31</v>
      </c>
      <c r="J159" s="24" t="s">
        <v>246</v>
      </c>
      <c r="K159" s="23">
        <v>0</v>
      </c>
      <c r="L159" s="23">
        <v>0</v>
      </c>
      <c r="M159" s="23">
        <v>400</v>
      </c>
      <c r="N159" s="23">
        <v>600</v>
      </c>
      <c r="O159" s="23" t="s">
        <v>31</v>
      </c>
      <c r="P159" s="23" t="s">
        <v>247</v>
      </c>
      <c r="Q159" s="23" t="s">
        <v>248</v>
      </c>
      <c r="R159" s="23" t="s">
        <v>31</v>
      </c>
      <c r="S159" s="23" t="s">
        <v>31</v>
      </c>
      <c r="T159" s="23" t="s">
        <v>31</v>
      </c>
      <c r="U159" s="23" t="s">
        <v>31</v>
      </c>
      <c r="V159" s="23" t="s">
        <v>31</v>
      </c>
      <c r="W159" s="23" t="s">
        <v>31</v>
      </c>
      <c r="X159" s="30" t="s">
        <v>31</v>
      </c>
      <c r="Y159" s="35" t="s">
        <v>324</v>
      </c>
    </row>
    <row r="160" spans="1:25" hidden="1" x14ac:dyDescent="0.25">
      <c r="A160" s="24" t="s">
        <v>241</v>
      </c>
      <c r="B160" s="23" t="s">
        <v>242</v>
      </c>
      <c r="C160" s="23" t="s">
        <v>243</v>
      </c>
      <c r="D160" s="23" t="s">
        <v>244</v>
      </c>
      <c r="E160" s="23" t="s">
        <v>245</v>
      </c>
      <c r="F160" s="23">
        <v>2023</v>
      </c>
      <c r="G160" s="31" t="s">
        <v>261</v>
      </c>
      <c r="H160" s="33" t="s">
        <v>66</v>
      </c>
      <c r="I160" s="32" t="s">
        <v>31</v>
      </c>
      <c r="J160" s="24" t="s">
        <v>246</v>
      </c>
      <c r="K160" s="23">
        <v>0</v>
      </c>
      <c r="L160" s="23">
        <v>0</v>
      </c>
      <c r="M160" s="23">
        <v>400</v>
      </c>
      <c r="N160" s="23">
        <v>600</v>
      </c>
      <c r="O160" s="23" t="s">
        <v>31</v>
      </c>
      <c r="P160" s="23" t="s">
        <v>247</v>
      </c>
      <c r="Q160" s="23" t="s">
        <v>248</v>
      </c>
      <c r="R160" s="23" t="s">
        <v>31</v>
      </c>
      <c r="S160" s="23" t="s">
        <v>31</v>
      </c>
      <c r="T160" s="23" t="s">
        <v>31</v>
      </c>
      <c r="U160" s="23" t="s">
        <v>31</v>
      </c>
      <c r="V160" s="23" t="s">
        <v>31</v>
      </c>
      <c r="W160" s="23" t="s">
        <v>31</v>
      </c>
      <c r="X160" s="30" t="s">
        <v>31</v>
      </c>
      <c r="Y160" s="35" t="s">
        <v>324</v>
      </c>
    </row>
    <row r="161" spans="1:25" hidden="1" x14ac:dyDescent="0.25">
      <c r="A161" s="24" t="s">
        <v>241</v>
      </c>
      <c r="B161" s="23" t="s">
        <v>242</v>
      </c>
      <c r="C161" s="23" t="s">
        <v>243</v>
      </c>
      <c r="D161" s="23" t="s">
        <v>244</v>
      </c>
      <c r="E161" s="23" t="s">
        <v>245</v>
      </c>
      <c r="F161" s="23">
        <v>2023</v>
      </c>
      <c r="G161" s="31" t="s">
        <v>325</v>
      </c>
      <c r="H161" s="33" t="s">
        <v>325</v>
      </c>
      <c r="I161" s="32" t="s">
        <v>31</v>
      </c>
      <c r="J161" s="24" t="s">
        <v>246</v>
      </c>
      <c r="K161" s="23">
        <v>0</v>
      </c>
      <c r="L161" s="23">
        <v>0</v>
      </c>
      <c r="M161" s="23">
        <v>400</v>
      </c>
      <c r="N161" s="23">
        <v>600</v>
      </c>
      <c r="O161" s="23" t="s">
        <v>31</v>
      </c>
      <c r="P161" s="23" t="s">
        <v>247</v>
      </c>
      <c r="Q161" s="23" t="s">
        <v>248</v>
      </c>
      <c r="R161" s="23" t="s">
        <v>31</v>
      </c>
      <c r="S161" s="23" t="s">
        <v>31</v>
      </c>
      <c r="T161" s="23" t="s">
        <v>31</v>
      </c>
      <c r="U161" s="23" t="s">
        <v>31</v>
      </c>
      <c r="V161" s="23" t="s">
        <v>31</v>
      </c>
      <c r="W161" s="23" t="s">
        <v>31</v>
      </c>
      <c r="X161" s="30" t="s">
        <v>31</v>
      </c>
      <c r="Y161" s="35" t="s">
        <v>320</v>
      </c>
    </row>
    <row r="162" spans="1:25" hidden="1" x14ac:dyDescent="0.25">
      <c r="A162" s="24" t="s">
        <v>241</v>
      </c>
      <c r="B162" s="23" t="s">
        <v>242</v>
      </c>
      <c r="C162" s="23" t="s">
        <v>243</v>
      </c>
      <c r="D162" s="23" t="s">
        <v>244</v>
      </c>
      <c r="E162" s="23" t="s">
        <v>245</v>
      </c>
      <c r="F162" s="23">
        <v>2023</v>
      </c>
      <c r="G162" s="31" t="s">
        <v>123</v>
      </c>
      <c r="H162" s="33" t="s">
        <v>66</v>
      </c>
      <c r="I162" s="32" t="s">
        <v>31</v>
      </c>
      <c r="J162" s="24" t="s">
        <v>246</v>
      </c>
      <c r="K162" s="23">
        <v>0</v>
      </c>
      <c r="L162" s="23">
        <v>0</v>
      </c>
      <c r="M162" s="23">
        <v>400</v>
      </c>
      <c r="N162" s="23">
        <v>600</v>
      </c>
      <c r="O162" s="23" t="s">
        <v>31</v>
      </c>
      <c r="P162" s="23" t="s">
        <v>247</v>
      </c>
      <c r="Q162" s="23" t="s">
        <v>248</v>
      </c>
      <c r="R162" s="23" t="s">
        <v>31</v>
      </c>
      <c r="S162" s="23" t="s">
        <v>31</v>
      </c>
      <c r="T162" s="23" t="s">
        <v>31</v>
      </c>
      <c r="U162" s="23" t="s">
        <v>31</v>
      </c>
      <c r="V162" s="23" t="s">
        <v>31</v>
      </c>
      <c r="W162" s="23" t="s">
        <v>31</v>
      </c>
      <c r="X162" s="30" t="s">
        <v>31</v>
      </c>
      <c r="Y162" s="35" t="s">
        <v>326</v>
      </c>
    </row>
    <row r="163" spans="1:25" hidden="1" x14ac:dyDescent="0.25">
      <c r="A163" s="24" t="s">
        <v>241</v>
      </c>
      <c r="B163" s="23" t="s">
        <v>242</v>
      </c>
      <c r="C163" s="23" t="s">
        <v>243</v>
      </c>
      <c r="D163" s="23" t="s">
        <v>244</v>
      </c>
      <c r="E163" s="23" t="s">
        <v>245</v>
      </c>
      <c r="F163" s="23">
        <v>2023</v>
      </c>
      <c r="G163" s="31" t="s">
        <v>292</v>
      </c>
      <c r="H163" s="33" t="s">
        <v>66</v>
      </c>
      <c r="I163" s="32" t="s">
        <v>31</v>
      </c>
      <c r="J163" s="24" t="s">
        <v>246</v>
      </c>
      <c r="K163" s="23">
        <v>0</v>
      </c>
      <c r="L163" s="23">
        <v>0</v>
      </c>
      <c r="M163" s="23">
        <v>400</v>
      </c>
      <c r="N163" s="23">
        <v>600</v>
      </c>
      <c r="O163" s="23" t="s">
        <v>31</v>
      </c>
      <c r="P163" s="23" t="s">
        <v>247</v>
      </c>
      <c r="Q163" s="23" t="s">
        <v>248</v>
      </c>
      <c r="R163" s="23" t="s">
        <v>31</v>
      </c>
      <c r="S163" s="23" t="s">
        <v>31</v>
      </c>
      <c r="T163" s="23" t="s">
        <v>31</v>
      </c>
      <c r="U163" s="23" t="s">
        <v>31</v>
      </c>
      <c r="V163" s="23" t="s">
        <v>31</v>
      </c>
      <c r="W163" s="23" t="s">
        <v>31</v>
      </c>
      <c r="X163" s="30" t="s">
        <v>31</v>
      </c>
      <c r="Y163" s="35" t="s">
        <v>327</v>
      </c>
    </row>
    <row r="164" spans="1:25" hidden="1" x14ac:dyDescent="0.25">
      <c r="A164" s="24" t="s">
        <v>241</v>
      </c>
      <c r="B164" s="23" t="s">
        <v>242</v>
      </c>
      <c r="C164" s="23" t="s">
        <v>243</v>
      </c>
      <c r="D164" s="23" t="s">
        <v>244</v>
      </c>
      <c r="E164" s="23" t="s">
        <v>245</v>
      </c>
      <c r="F164" s="23">
        <v>2023</v>
      </c>
      <c r="G164" s="31" t="s">
        <v>273</v>
      </c>
      <c r="H164" s="33" t="s">
        <v>66</v>
      </c>
      <c r="I164" s="32" t="s">
        <v>31</v>
      </c>
      <c r="J164" s="24" t="s">
        <v>246</v>
      </c>
      <c r="K164" s="23">
        <v>0</v>
      </c>
      <c r="L164" s="23">
        <v>0</v>
      </c>
      <c r="M164" s="23">
        <v>400</v>
      </c>
      <c r="N164" s="23">
        <v>600</v>
      </c>
      <c r="O164" s="23" t="s">
        <v>31</v>
      </c>
      <c r="P164" s="23" t="s">
        <v>247</v>
      </c>
      <c r="Q164" s="23" t="s">
        <v>248</v>
      </c>
      <c r="R164" s="23" t="s">
        <v>31</v>
      </c>
      <c r="S164" s="23" t="s">
        <v>31</v>
      </c>
      <c r="T164" s="23" t="s">
        <v>31</v>
      </c>
      <c r="U164" s="23" t="s">
        <v>31</v>
      </c>
      <c r="V164" s="23" t="s">
        <v>31</v>
      </c>
      <c r="W164" s="23" t="s">
        <v>31</v>
      </c>
      <c r="X164" s="30" t="s">
        <v>31</v>
      </c>
      <c r="Y164" s="35" t="s">
        <v>305</v>
      </c>
    </row>
    <row r="165" spans="1:25" hidden="1" x14ac:dyDescent="0.25">
      <c r="A165" s="24" t="s">
        <v>241</v>
      </c>
      <c r="B165" s="23" t="s">
        <v>242</v>
      </c>
      <c r="C165" s="23" t="s">
        <v>243</v>
      </c>
      <c r="D165" s="23" t="s">
        <v>244</v>
      </c>
      <c r="E165" s="23" t="s">
        <v>245</v>
      </c>
      <c r="F165" s="23">
        <v>2023</v>
      </c>
      <c r="G165" s="31" t="s">
        <v>273</v>
      </c>
      <c r="H165" s="33" t="s">
        <v>66</v>
      </c>
      <c r="I165" s="32" t="s">
        <v>31</v>
      </c>
      <c r="J165" s="24" t="s">
        <v>246</v>
      </c>
      <c r="K165" s="23">
        <v>0</v>
      </c>
      <c r="L165" s="23">
        <v>0</v>
      </c>
      <c r="M165" s="23">
        <v>400</v>
      </c>
      <c r="N165" s="23">
        <v>600</v>
      </c>
      <c r="O165" s="23" t="s">
        <v>31</v>
      </c>
      <c r="P165" s="23" t="s">
        <v>247</v>
      </c>
      <c r="Q165" s="23" t="s">
        <v>248</v>
      </c>
      <c r="R165" s="23" t="s">
        <v>31</v>
      </c>
      <c r="S165" s="23" t="s">
        <v>31</v>
      </c>
      <c r="T165" s="23" t="s">
        <v>31</v>
      </c>
      <c r="U165" s="23" t="s">
        <v>31</v>
      </c>
      <c r="V165" s="23" t="s">
        <v>31</v>
      </c>
      <c r="W165" s="23" t="s">
        <v>31</v>
      </c>
      <c r="X165" s="30" t="s">
        <v>31</v>
      </c>
      <c r="Y165" s="35" t="s">
        <v>328</v>
      </c>
    </row>
    <row r="166" spans="1:25" hidden="1" x14ac:dyDescent="0.25">
      <c r="A166" s="24" t="s">
        <v>241</v>
      </c>
      <c r="B166" s="23" t="s">
        <v>242</v>
      </c>
      <c r="C166" s="23" t="s">
        <v>243</v>
      </c>
      <c r="D166" s="23" t="s">
        <v>244</v>
      </c>
      <c r="E166" s="23" t="s">
        <v>245</v>
      </c>
      <c r="F166" s="23">
        <v>2023</v>
      </c>
      <c r="G166" s="31" t="s">
        <v>124</v>
      </c>
      <c r="H166" s="33" t="s">
        <v>66</v>
      </c>
      <c r="I166" s="32" t="s">
        <v>31</v>
      </c>
      <c r="J166" s="24" t="s">
        <v>246</v>
      </c>
      <c r="K166" s="23">
        <v>0</v>
      </c>
      <c r="L166" s="23">
        <v>0</v>
      </c>
      <c r="M166" s="23">
        <v>400</v>
      </c>
      <c r="N166" s="23">
        <v>600</v>
      </c>
      <c r="O166" s="23" t="s">
        <v>31</v>
      </c>
      <c r="P166" s="23" t="s">
        <v>247</v>
      </c>
      <c r="Q166" s="23" t="s">
        <v>248</v>
      </c>
      <c r="R166" s="23" t="s">
        <v>31</v>
      </c>
      <c r="S166" s="23" t="s">
        <v>31</v>
      </c>
      <c r="T166" s="23" t="s">
        <v>31</v>
      </c>
      <c r="U166" s="23" t="s">
        <v>31</v>
      </c>
      <c r="V166" s="23" t="s">
        <v>31</v>
      </c>
      <c r="W166" s="23" t="s">
        <v>31</v>
      </c>
      <c r="X166" s="30" t="s">
        <v>31</v>
      </c>
      <c r="Y166" s="35" t="s">
        <v>305</v>
      </c>
    </row>
    <row r="167" spans="1:25" hidden="1" x14ac:dyDescent="0.25">
      <c r="A167" s="24" t="s">
        <v>241</v>
      </c>
      <c r="B167" s="23" t="s">
        <v>242</v>
      </c>
      <c r="C167" s="23" t="s">
        <v>243</v>
      </c>
      <c r="D167" s="23" t="s">
        <v>244</v>
      </c>
      <c r="E167" s="23" t="s">
        <v>245</v>
      </c>
      <c r="F167" s="23">
        <v>2023</v>
      </c>
      <c r="G167" s="31" t="s">
        <v>293</v>
      </c>
      <c r="H167" s="33" t="s">
        <v>66</v>
      </c>
      <c r="I167" s="32" t="s">
        <v>31</v>
      </c>
      <c r="J167" s="24" t="s">
        <v>246</v>
      </c>
      <c r="K167" s="23">
        <v>0</v>
      </c>
      <c r="L167" s="23">
        <v>0</v>
      </c>
      <c r="M167" s="23">
        <v>400</v>
      </c>
      <c r="N167" s="23">
        <v>600</v>
      </c>
      <c r="O167" s="23" t="s">
        <v>31</v>
      </c>
      <c r="P167" s="23" t="s">
        <v>247</v>
      </c>
      <c r="Q167" s="23" t="s">
        <v>248</v>
      </c>
      <c r="R167" s="23" t="s">
        <v>31</v>
      </c>
      <c r="S167" s="23" t="s">
        <v>31</v>
      </c>
      <c r="T167" s="23" t="s">
        <v>31</v>
      </c>
      <c r="U167" s="23" t="s">
        <v>31</v>
      </c>
      <c r="V167" s="23" t="s">
        <v>31</v>
      </c>
      <c r="W167" s="23" t="s">
        <v>31</v>
      </c>
      <c r="X167" s="30" t="s">
        <v>31</v>
      </c>
      <c r="Y167" s="35" t="s">
        <v>320</v>
      </c>
    </row>
    <row r="168" spans="1:25" hidden="1" x14ac:dyDescent="0.25">
      <c r="A168" s="24" t="s">
        <v>241</v>
      </c>
      <c r="B168" s="23" t="s">
        <v>242</v>
      </c>
      <c r="C168" s="23" t="s">
        <v>243</v>
      </c>
      <c r="D168" s="23" t="s">
        <v>244</v>
      </c>
      <c r="E168" s="23" t="s">
        <v>245</v>
      </c>
      <c r="F168" s="23">
        <v>2023</v>
      </c>
      <c r="G168" s="31" t="s">
        <v>329</v>
      </c>
      <c r="H168" s="33" t="s">
        <v>329</v>
      </c>
      <c r="I168" s="32" t="s">
        <v>31</v>
      </c>
      <c r="J168" s="24" t="s">
        <v>246</v>
      </c>
      <c r="K168" s="23">
        <v>0</v>
      </c>
      <c r="L168" s="23">
        <v>0</v>
      </c>
      <c r="M168" s="23">
        <v>400</v>
      </c>
      <c r="N168" s="23">
        <v>600</v>
      </c>
      <c r="O168" s="23" t="s">
        <v>31</v>
      </c>
      <c r="P168" s="23" t="s">
        <v>247</v>
      </c>
      <c r="Q168" s="23" t="s">
        <v>248</v>
      </c>
      <c r="R168" s="23" t="s">
        <v>31</v>
      </c>
      <c r="S168" s="23" t="s">
        <v>31</v>
      </c>
      <c r="T168" s="23" t="s">
        <v>31</v>
      </c>
      <c r="U168" s="23" t="s">
        <v>31</v>
      </c>
      <c r="V168" s="23" t="s">
        <v>31</v>
      </c>
      <c r="W168" s="23" t="s">
        <v>31</v>
      </c>
      <c r="X168" s="30" t="s">
        <v>31</v>
      </c>
      <c r="Y168" s="35" t="s">
        <v>320</v>
      </c>
    </row>
    <row r="169" spans="1:25" hidden="1" x14ac:dyDescent="0.25">
      <c r="A169" s="24" t="s">
        <v>241</v>
      </c>
      <c r="B169" s="23" t="s">
        <v>242</v>
      </c>
      <c r="C169" s="23" t="s">
        <v>243</v>
      </c>
      <c r="D169" s="23" t="s">
        <v>244</v>
      </c>
      <c r="E169" s="23" t="s">
        <v>245</v>
      </c>
      <c r="F169" s="23">
        <v>2023</v>
      </c>
      <c r="G169" s="31" t="s">
        <v>122</v>
      </c>
      <c r="H169" s="33" t="s">
        <v>66</v>
      </c>
      <c r="I169" s="32" t="s">
        <v>31</v>
      </c>
      <c r="J169" s="24" t="s">
        <v>246</v>
      </c>
      <c r="K169" s="23">
        <v>0</v>
      </c>
      <c r="L169" s="23">
        <v>0</v>
      </c>
      <c r="M169" s="23">
        <v>400</v>
      </c>
      <c r="N169" s="23">
        <v>600</v>
      </c>
      <c r="O169" s="23" t="s">
        <v>31</v>
      </c>
      <c r="P169" s="23" t="s">
        <v>247</v>
      </c>
      <c r="Q169" s="23" t="s">
        <v>248</v>
      </c>
      <c r="R169" s="23" t="s">
        <v>31</v>
      </c>
      <c r="S169" s="23" t="s">
        <v>31</v>
      </c>
      <c r="T169" s="23" t="s">
        <v>31</v>
      </c>
      <c r="U169" s="23" t="s">
        <v>31</v>
      </c>
      <c r="V169" s="23" t="s">
        <v>31</v>
      </c>
      <c r="W169" s="23" t="s">
        <v>31</v>
      </c>
      <c r="X169" s="30" t="s">
        <v>31</v>
      </c>
      <c r="Y169" s="35" t="s">
        <v>330</v>
      </c>
    </row>
    <row r="170" spans="1:25" hidden="1" x14ac:dyDescent="0.25">
      <c r="A170" s="24" t="s">
        <v>241</v>
      </c>
      <c r="B170" s="23" t="s">
        <v>242</v>
      </c>
      <c r="C170" s="23" t="s">
        <v>243</v>
      </c>
      <c r="D170" s="23" t="s">
        <v>244</v>
      </c>
      <c r="E170" s="23" t="s">
        <v>245</v>
      </c>
      <c r="F170" s="23">
        <v>2023</v>
      </c>
      <c r="G170" s="31" t="s">
        <v>133</v>
      </c>
      <c r="H170" s="33" t="s">
        <v>133</v>
      </c>
      <c r="I170" s="32" t="s">
        <v>31</v>
      </c>
      <c r="J170" s="24" t="s">
        <v>246</v>
      </c>
      <c r="K170" s="23">
        <v>0</v>
      </c>
      <c r="L170" s="23">
        <v>0</v>
      </c>
      <c r="M170" s="23">
        <v>400</v>
      </c>
      <c r="N170" s="23">
        <v>600</v>
      </c>
      <c r="O170" s="23" t="s">
        <v>31</v>
      </c>
      <c r="P170" s="23" t="s">
        <v>247</v>
      </c>
      <c r="Q170" s="23" t="s">
        <v>248</v>
      </c>
      <c r="R170" s="23" t="s">
        <v>31</v>
      </c>
      <c r="S170" s="23" t="s">
        <v>31</v>
      </c>
      <c r="T170" s="23" t="s">
        <v>31</v>
      </c>
      <c r="U170" s="23" t="s">
        <v>31</v>
      </c>
      <c r="V170" s="23" t="s">
        <v>31</v>
      </c>
      <c r="W170" s="23" t="s">
        <v>31</v>
      </c>
      <c r="X170" s="30" t="s">
        <v>31</v>
      </c>
      <c r="Y170" s="35" t="s">
        <v>305</v>
      </c>
    </row>
    <row r="171" spans="1:25" hidden="1" x14ac:dyDescent="0.25">
      <c r="A171" s="24" t="s">
        <v>241</v>
      </c>
      <c r="B171" s="23" t="s">
        <v>242</v>
      </c>
      <c r="C171" s="23" t="s">
        <v>243</v>
      </c>
      <c r="D171" s="23" t="s">
        <v>244</v>
      </c>
      <c r="E171" s="23" t="s">
        <v>245</v>
      </c>
      <c r="F171" s="23">
        <v>2023</v>
      </c>
      <c r="G171" s="31" t="s">
        <v>133</v>
      </c>
      <c r="H171" s="33" t="s">
        <v>133</v>
      </c>
      <c r="I171" s="32" t="s">
        <v>31</v>
      </c>
      <c r="J171" s="24" t="s">
        <v>246</v>
      </c>
      <c r="K171" s="23">
        <v>0</v>
      </c>
      <c r="L171" s="23">
        <v>0</v>
      </c>
      <c r="M171" s="23">
        <v>400</v>
      </c>
      <c r="N171" s="23">
        <v>600</v>
      </c>
      <c r="O171" s="23" t="s">
        <v>31</v>
      </c>
      <c r="P171" s="23" t="s">
        <v>247</v>
      </c>
      <c r="Q171" s="23" t="s">
        <v>248</v>
      </c>
      <c r="R171" s="23" t="s">
        <v>31</v>
      </c>
      <c r="S171" s="23" t="s">
        <v>31</v>
      </c>
      <c r="T171" s="23" t="s">
        <v>31</v>
      </c>
      <c r="U171" s="23" t="s">
        <v>31</v>
      </c>
      <c r="V171" s="23" t="s">
        <v>31</v>
      </c>
      <c r="W171" s="23" t="s">
        <v>31</v>
      </c>
      <c r="X171" s="30" t="s">
        <v>31</v>
      </c>
      <c r="Y171" s="35" t="s">
        <v>331</v>
      </c>
    </row>
    <row r="172" spans="1:25" hidden="1" x14ac:dyDescent="0.25">
      <c r="A172" s="24" t="s">
        <v>241</v>
      </c>
      <c r="B172" s="23" t="s">
        <v>242</v>
      </c>
      <c r="C172" s="23" t="s">
        <v>243</v>
      </c>
      <c r="D172" s="23" t="s">
        <v>244</v>
      </c>
      <c r="E172" s="23" t="s">
        <v>245</v>
      </c>
      <c r="F172" s="23">
        <v>2023</v>
      </c>
      <c r="G172" s="31" t="s">
        <v>132</v>
      </c>
      <c r="H172" s="33" t="s">
        <v>66</v>
      </c>
      <c r="I172" s="32" t="s">
        <v>31</v>
      </c>
      <c r="J172" s="24" t="s">
        <v>246</v>
      </c>
      <c r="K172" s="23">
        <v>0</v>
      </c>
      <c r="L172" s="23">
        <v>0</v>
      </c>
      <c r="M172" s="23">
        <v>400</v>
      </c>
      <c r="N172" s="23">
        <v>600</v>
      </c>
      <c r="O172" s="23" t="s">
        <v>31</v>
      </c>
      <c r="P172" s="23" t="s">
        <v>247</v>
      </c>
      <c r="Q172" s="23" t="s">
        <v>248</v>
      </c>
      <c r="R172" s="23" t="s">
        <v>31</v>
      </c>
      <c r="S172" s="23" t="s">
        <v>31</v>
      </c>
      <c r="T172" s="23" t="s">
        <v>31</v>
      </c>
      <c r="U172" s="23" t="s">
        <v>31</v>
      </c>
      <c r="V172" s="23" t="s">
        <v>31</v>
      </c>
      <c r="W172" s="23" t="s">
        <v>31</v>
      </c>
      <c r="X172" s="30" t="s">
        <v>31</v>
      </c>
      <c r="Y172" s="35" t="s">
        <v>331</v>
      </c>
    </row>
    <row r="173" spans="1:25" hidden="1" x14ac:dyDescent="0.25">
      <c r="A173" s="24" t="s">
        <v>241</v>
      </c>
      <c r="B173" s="23" t="s">
        <v>242</v>
      </c>
      <c r="C173" s="23" t="s">
        <v>243</v>
      </c>
      <c r="D173" s="23" t="s">
        <v>244</v>
      </c>
      <c r="E173" s="23" t="s">
        <v>245</v>
      </c>
      <c r="F173" s="23">
        <v>2023</v>
      </c>
      <c r="G173" s="31" t="s">
        <v>119</v>
      </c>
      <c r="H173" s="33" t="s">
        <v>66</v>
      </c>
      <c r="I173" s="32" t="s">
        <v>31</v>
      </c>
      <c r="J173" s="24" t="s">
        <v>246</v>
      </c>
      <c r="K173" s="23">
        <v>0</v>
      </c>
      <c r="L173" s="23">
        <v>0</v>
      </c>
      <c r="M173" s="23">
        <v>400</v>
      </c>
      <c r="N173" s="23">
        <v>600</v>
      </c>
      <c r="O173" s="23" t="s">
        <v>31</v>
      </c>
      <c r="P173" s="23" t="s">
        <v>247</v>
      </c>
      <c r="Q173" s="23" t="s">
        <v>248</v>
      </c>
      <c r="R173" s="23" t="s">
        <v>31</v>
      </c>
      <c r="S173" s="23" t="s">
        <v>31</v>
      </c>
      <c r="T173" s="23" t="s">
        <v>31</v>
      </c>
      <c r="U173" s="23" t="s">
        <v>31</v>
      </c>
      <c r="V173" s="23" t="s">
        <v>31</v>
      </c>
      <c r="W173" s="23" t="s">
        <v>31</v>
      </c>
      <c r="X173" s="30" t="s">
        <v>31</v>
      </c>
      <c r="Y173" s="35" t="s">
        <v>327</v>
      </c>
    </row>
    <row r="174" spans="1:25" hidden="1" x14ac:dyDescent="0.25">
      <c r="A174" s="24" t="s">
        <v>241</v>
      </c>
      <c r="B174" s="23" t="s">
        <v>242</v>
      </c>
      <c r="C174" s="23" t="s">
        <v>243</v>
      </c>
      <c r="D174" s="23" t="s">
        <v>244</v>
      </c>
      <c r="E174" s="23" t="s">
        <v>245</v>
      </c>
      <c r="F174" s="23">
        <v>2023</v>
      </c>
      <c r="G174" s="31" t="s">
        <v>332</v>
      </c>
      <c r="H174" s="33" t="s">
        <v>333</v>
      </c>
      <c r="I174" s="32" t="s">
        <v>31</v>
      </c>
      <c r="J174" s="24" t="s">
        <v>246</v>
      </c>
      <c r="K174" s="23">
        <v>0</v>
      </c>
      <c r="L174" s="23">
        <v>0</v>
      </c>
      <c r="M174" s="23">
        <v>400</v>
      </c>
      <c r="N174" s="23">
        <v>600</v>
      </c>
      <c r="O174" s="23" t="s">
        <v>31</v>
      </c>
      <c r="P174" s="23" t="s">
        <v>247</v>
      </c>
      <c r="Q174" s="23" t="s">
        <v>248</v>
      </c>
      <c r="R174" s="23" t="s">
        <v>31</v>
      </c>
      <c r="S174" s="23" t="s">
        <v>31</v>
      </c>
      <c r="T174" s="23" t="s">
        <v>31</v>
      </c>
      <c r="U174" s="23" t="s">
        <v>31</v>
      </c>
      <c r="V174" s="23" t="s">
        <v>31</v>
      </c>
      <c r="W174" s="23" t="s">
        <v>31</v>
      </c>
      <c r="X174" s="30" t="s">
        <v>31</v>
      </c>
      <c r="Y174" s="35" t="s">
        <v>320</v>
      </c>
    </row>
    <row r="175" spans="1:25" hidden="1" x14ac:dyDescent="0.25">
      <c r="A175" s="24" t="s">
        <v>241</v>
      </c>
      <c r="B175" s="23" t="s">
        <v>242</v>
      </c>
      <c r="C175" s="23" t="s">
        <v>243</v>
      </c>
      <c r="D175" s="23" t="s">
        <v>244</v>
      </c>
      <c r="E175" s="23" t="s">
        <v>245</v>
      </c>
      <c r="F175" s="23">
        <v>2023</v>
      </c>
      <c r="G175" s="31" t="s">
        <v>334</v>
      </c>
      <c r="H175" s="33" t="s">
        <v>335</v>
      </c>
      <c r="I175" s="32" t="s">
        <v>31</v>
      </c>
      <c r="J175" s="24" t="s">
        <v>246</v>
      </c>
      <c r="K175" s="23">
        <v>0</v>
      </c>
      <c r="L175" s="23">
        <v>0</v>
      </c>
      <c r="M175" s="23">
        <v>400</v>
      </c>
      <c r="N175" s="23">
        <v>600</v>
      </c>
      <c r="O175" s="23" t="s">
        <v>31</v>
      </c>
      <c r="P175" s="23" t="s">
        <v>247</v>
      </c>
      <c r="Q175" s="23" t="s">
        <v>248</v>
      </c>
      <c r="R175" s="23" t="s">
        <v>31</v>
      </c>
      <c r="S175" s="23" t="s">
        <v>31</v>
      </c>
      <c r="T175" s="23" t="s">
        <v>31</v>
      </c>
      <c r="U175" s="23" t="s">
        <v>31</v>
      </c>
      <c r="V175" s="23" t="s">
        <v>31</v>
      </c>
      <c r="W175" s="23" t="s">
        <v>31</v>
      </c>
      <c r="X175" s="30" t="s">
        <v>31</v>
      </c>
      <c r="Y175" s="35" t="s">
        <v>320</v>
      </c>
    </row>
    <row r="176" spans="1:25" hidden="1" x14ac:dyDescent="0.25">
      <c r="A176" s="24" t="s">
        <v>241</v>
      </c>
      <c r="B176" s="23" t="s">
        <v>242</v>
      </c>
      <c r="C176" s="23" t="s">
        <v>243</v>
      </c>
      <c r="D176" s="23" t="s">
        <v>244</v>
      </c>
      <c r="E176" s="23" t="s">
        <v>245</v>
      </c>
      <c r="F176" s="23">
        <v>2023</v>
      </c>
      <c r="G176" s="31" t="s">
        <v>336</v>
      </c>
      <c r="H176" s="33" t="s">
        <v>337</v>
      </c>
      <c r="I176" s="32" t="s">
        <v>31</v>
      </c>
      <c r="J176" s="24" t="s">
        <v>246</v>
      </c>
      <c r="K176" s="23">
        <v>0</v>
      </c>
      <c r="L176" s="23">
        <v>0</v>
      </c>
      <c r="M176" s="23">
        <v>400</v>
      </c>
      <c r="N176" s="23">
        <v>600</v>
      </c>
      <c r="O176" s="23" t="s">
        <v>31</v>
      </c>
      <c r="P176" s="23" t="s">
        <v>247</v>
      </c>
      <c r="Q176" s="23" t="s">
        <v>248</v>
      </c>
      <c r="R176" s="23" t="s">
        <v>31</v>
      </c>
      <c r="S176" s="23" t="s">
        <v>31</v>
      </c>
      <c r="T176" s="23" t="s">
        <v>31</v>
      </c>
      <c r="U176" s="23" t="s">
        <v>31</v>
      </c>
      <c r="V176" s="23" t="s">
        <v>31</v>
      </c>
      <c r="W176" s="23" t="s">
        <v>31</v>
      </c>
      <c r="X176" s="30" t="s">
        <v>31</v>
      </c>
      <c r="Y176" s="35" t="s">
        <v>320</v>
      </c>
    </row>
    <row r="177" spans="1:25" hidden="1" x14ac:dyDescent="0.25">
      <c r="A177" s="24" t="s">
        <v>241</v>
      </c>
      <c r="B177" s="23" t="s">
        <v>242</v>
      </c>
      <c r="C177" s="23" t="s">
        <v>243</v>
      </c>
      <c r="D177" s="23" t="s">
        <v>244</v>
      </c>
      <c r="E177" s="23" t="s">
        <v>245</v>
      </c>
      <c r="F177" s="23">
        <v>2023</v>
      </c>
      <c r="G177" s="31" t="s">
        <v>44</v>
      </c>
      <c r="H177" s="33" t="s">
        <v>150</v>
      </c>
      <c r="I177" s="32" t="s">
        <v>31</v>
      </c>
      <c r="J177" s="24" t="s">
        <v>246</v>
      </c>
      <c r="K177" s="23">
        <v>0</v>
      </c>
      <c r="L177" s="23">
        <v>0</v>
      </c>
      <c r="M177" s="23">
        <v>400</v>
      </c>
      <c r="N177" s="23">
        <v>600</v>
      </c>
      <c r="O177" s="23" t="s">
        <v>31</v>
      </c>
      <c r="P177" s="23" t="s">
        <v>247</v>
      </c>
      <c r="Q177" s="23" t="s">
        <v>248</v>
      </c>
      <c r="R177" s="23" t="s">
        <v>31</v>
      </c>
      <c r="S177" s="23" t="s">
        <v>31</v>
      </c>
      <c r="T177" s="23" t="s">
        <v>31</v>
      </c>
      <c r="U177" s="23" t="s">
        <v>31</v>
      </c>
      <c r="V177" s="23" t="s">
        <v>31</v>
      </c>
      <c r="W177" s="23" t="s">
        <v>31</v>
      </c>
      <c r="X177" s="30" t="s">
        <v>31</v>
      </c>
      <c r="Y177" s="35" t="s">
        <v>327</v>
      </c>
    </row>
    <row r="178" spans="1:25" hidden="1" x14ac:dyDescent="0.25">
      <c r="A178" s="24" t="s">
        <v>241</v>
      </c>
      <c r="B178" s="23" t="s">
        <v>242</v>
      </c>
      <c r="C178" s="23" t="s">
        <v>243</v>
      </c>
      <c r="D178" s="23" t="s">
        <v>244</v>
      </c>
      <c r="E178" s="23" t="s">
        <v>245</v>
      </c>
      <c r="F178" s="23">
        <v>2023</v>
      </c>
      <c r="G178" s="31" t="s">
        <v>338</v>
      </c>
      <c r="H178" s="33" t="s">
        <v>150</v>
      </c>
      <c r="I178" s="32" t="s">
        <v>31</v>
      </c>
      <c r="J178" s="24" t="s">
        <v>246</v>
      </c>
      <c r="K178" s="23">
        <v>0</v>
      </c>
      <c r="L178" s="23">
        <v>0</v>
      </c>
      <c r="M178" s="23">
        <v>400</v>
      </c>
      <c r="N178" s="23">
        <v>600</v>
      </c>
      <c r="O178" s="23" t="s">
        <v>31</v>
      </c>
      <c r="P178" s="23" t="s">
        <v>247</v>
      </c>
      <c r="Q178" s="23" t="s">
        <v>248</v>
      </c>
      <c r="R178" s="23" t="s">
        <v>31</v>
      </c>
      <c r="S178" s="23" t="s">
        <v>31</v>
      </c>
      <c r="T178" s="23" t="s">
        <v>31</v>
      </c>
      <c r="U178" s="23" t="s">
        <v>31</v>
      </c>
      <c r="V178" s="23" t="s">
        <v>31</v>
      </c>
      <c r="W178" s="23" t="s">
        <v>31</v>
      </c>
      <c r="X178" s="30" t="s">
        <v>31</v>
      </c>
      <c r="Y178" s="35" t="s">
        <v>323</v>
      </c>
    </row>
    <row r="179" spans="1:25" hidden="1" x14ac:dyDescent="0.25">
      <c r="A179" s="24" t="s">
        <v>241</v>
      </c>
      <c r="B179" s="23" t="s">
        <v>242</v>
      </c>
      <c r="C179" s="23" t="s">
        <v>243</v>
      </c>
      <c r="D179" s="23" t="s">
        <v>244</v>
      </c>
      <c r="E179" s="23" t="s">
        <v>245</v>
      </c>
      <c r="F179" s="23">
        <v>2023</v>
      </c>
      <c r="G179" s="31" t="s">
        <v>339</v>
      </c>
      <c r="H179" s="33" t="s">
        <v>340</v>
      </c>
      <c r="I179" s="32" t="s">
        <v>31</v>
      </c>
      <c r="J179" s="24" t="s">
        <v>246</v>
      </c>
      <c r="K179" s="23">
        <v>0</v>
      </c>
      <c r="L179" s="23">
        <v>0</v>
      </c>
      <c r="M179" s="23">
        <v>400</v>
      </c>
      <c r="N179" s="23">
        <v>600</v>
      </c>
      <c r="O179" s="23" t="s">
        <v>31</v>
      </c>
      <c r="P179" s="23" t="s">
        <v>247</v>
      </c>
      <c r="Q179" s="23" t="s">
        <v>248</v>
      </c>
      <c r="R179" s="23" t="s">
        <v>31</v>
      </c>
      <c r="S179" s="23" t="s">
        <v>31</v>
      </c>
      <c r="T179" s="23" t="s">
        <v>31</v>
      </c>
      <c r="U179" s="23" t="s">
        <v>31</v>
      </c>
      <c r="V179" s="23" t="s">
        <v>31</v>
      </c>
      <c r="W179" s="23" t="s">
        <v>31</v>
      </c>
      <c r="X179" s="30" t="s">
        <v>31</v>
      </c>
      <c r="Y179" s="35" t="s">
        <v>320</v>
      </c>
    </row>
    <row r="180" spans="1:25" hidden="1" x14ac:dyDescent="0.25">
      <c r="A180" s="24" t="s">
        <v>241</v>
      </c>
      <c r="B180" s="23" t="s">
        <v>242</v>
      </c>
      <c r="C180" s="23" t="s">
        <v>243</v>
      </c>
      <c r="D180" s="23" t="s">
        <v>244</v>
      </c>
      <c r="E180" s="23" t="s">
        <v>245</v>
      </c>
      <c r="F180" s="23">
        <v>2023</v>
      </c>
      <c r="G180" s="31" t="s">
        <v>176</v>
      </c>
      <c r="H180" s="33" t="s">
        <v>176</v>
      </c>
      <c r="I180" s="32" t="s">
        <v>31</v>
      </c>
      <c r="J180" s="24" t="s">
        <v>246</v>
      </c>
      <c r="K180" s="23">
        <v>0</v>
      </c>
      <c r="L180" s="23">
        <v>0</v>
      </c>
      <c r="M180" s="23">
        <v>400</v>
      </c>
      <c r="N180" s="23">
        <v>600</v>
      </c>
      <c r="O180" s="23" t="s">
        <v>31</v>
      </c>
      <c r="P180" s="23" t="s">
        <v>247</v>
      </c>
      <c r="Q180" s="23" t="s">
        <v>248</v>
      </c>
      <c r="R180" s="23" t="s">
        <v>31</v>
      </c>
      <c r="S180" s="23" t="s">
        <v>31</v>
      </c>
      <c r="T180" s="23" t="s">
        <v>31</v>
      </c>
      <c r="U180" s="23" t="s">
        <v>31</v>
      </c>
      <c r="V180" s="23" t="s">
        <v>31</v>
      </c>
      <c r="W180" s="23" t="s">
        <v>31</v>
      </c>
      <c r="X180" s="30" t="s">
        <v>31</v>
      </c>
      <c r="Y180" s="35" t="s">
        <v>341</v>
      </c>
    </row>
    <row r="181" spans="1:25" hidden="1" x14ac:dyDescent="0.25">
      <c r="A181" s="24" t="s">
        <v>241</v>
      </c>
      <c r="B181" s="23" t="s">
        <v>242</v>
      </c>
      <c r="C181" s="23" t="s">
        <v>243</v>
      </c>
      <c r="D181" s="23" t="s">
        <v>244</v>
      </c>
      <c r="E181" s="23" t="s">
        <v>245</v>
      </c>
      <c r="F181" s="23">
        <v>2023</v>
      </c>
      <c r="G181" s="31" t="s">
        <v>147</v>
      </c>
      <c r="H181" s="33" t="s">
        <v>51</v>
      </c>
      <c r="I181" s="32" t="s">
        <v>31</v>
      </c>
      <c r="J181" s="24" t="s">
        <v>246</v>
      </c>
      <c r="K181" s="23">
        <v>0</v>
      </c>
      <c r="L181" s="23">
        <v>0</v>
      </c>
      <c r="M181" s="23">
        <v>400</v>
      </c>
      <c r="N181" s="23">
        <v>600</v>
      </c>
      <c r="O181" s="23" t="s">
        <v>31</v>
      </c>
      <c r="P181" s="23" t="s">
        <v>247</v>
      </c>
      <c r="Q181" s="23" t="s">
        <v>248</v>
      </c>
      <c r="R181" s="23" t="s">
        <v>31</v>
      </c>
      <c r="S181" s="23" t="s">
        <v>31</v>
      </c>
      <c r="T181" s="23" t="s">
        <v>31</v>
      </c>
      <c r="U181" s="23" t="s">
        <v>31</v>
      </c>
      <c r="V181" s="23" t="s">
        <v>31</v>
      </c>
      <c r="W181" s="23" t="s">
        <v>31</v>
      </c>
      <c r="X181" s="30" t="s">
        <v>31</v>
      </c>
      <c r="Y181" s="35" t="s">
        <v>342</v>
      </c>
    </row>
    <row r="182" spans="1:25" x14ac:dyDescent="0.25">
      <c r="A182" s="24" t="s">
        <v>241</v>
      </c>
      <c r="B182" s="23" t="s">
        <v>242</v>
      </c>
      <c r="C182" s="23" t="s">
        <v>243</v>
      </c>
      <c r="D182" s="23" t="s">
        <v>244</v>
      </c>
      <c r="E182" s="23" t="s">
        <v>245</v>
      </c>
      <c r="F182" s="23">
        <v>2023</v>
      </c>
      <c r="G182" s="31" t="s">
        <v>46</v>
      </c>
      <c r="H182" s="33" t="s">
        <v>57</v>
      </c>
      <c r="I182" s="32" t="s">
        <v>31</v>
      </c>
      <c r="J182" s="24" t="s">
        <v>246</v>
      </c>
      <c r="K182" s="23">
        <v>0</v>
      </c>
      <c r="L182" s="23">
        <v>0</v>
      </c>
      <c r="M182" s="23">
        <v>400</v>
      </c>
      <c r="N182" s="23">
        <v>600</v>
      </c>
      <c r="O182" s="23" t="s">
        <v>31</v>
      </c>
      <c r="P182" s="23" t="s">
        <v>247</v>
      </c>
      <c r="Q182" s="23" t="s">
        <v>248</v>
      </c>
      <c r="R182" s="23" t="s">
        <v>31</v>
      </c>
      <c r="S182" s="23" t="s">
        <v>31</v>
      </c>
      <c r="T182" s="23" t="s">
        <v>31</v>
      </c>
      <c r="U182" s="23" t="s">
        <v>31</v>
      </c>
      <c r="V182" s="23" t="s">
        <v>31</v>
      </c>
      <c r="W182" s="23" t="s">
        <v>31</v>
      </c>
      <c r="X182" s="30" t="s">
        <v>31</v>
      </c>
      <c r="Y182" s="35" t="s">
        <v>343</v>
      </c>
    </row>
    <row r="183" spans="1:25" hidden="1" x14ac:dyDescent="0.25">
      <c r="A183" s="24" t="s">
        <v>241</v>
      </c>
      <c r="B183" s="23" t="s">
        <v>242</v>
      </c>
      <c r="C183" s="23" t="s">
        <v>243</v>
      </c>
      <c r="D183" s="23" t="s">
        <v>244</v>
      </c>
      <c r="E183" s="23" t="s">
        <v>245</v>
      </c>
      <c r="F183" s="23">
        <v>2023</v>
      </c>
      <c r="G183" s="31" t="s">
        <v>288</v>
      </c>
      <c r="H183" s="33" t="s">
        <v>57</v>
      </c>
      <c r="I183" s="32" t="s">
        <v>31</v>
      </c>
      <c r="J183" s="24" t="s">
        <v>246</v>
      </c>
      <c r="K183" s="23">
        <v>0</v>
      </c>
      <c r="L183" s="23">
        <v>0</v>
      </c>
      <c r="M183" s="23">
        <v>400</v>
      </c>
      <c r="N183" s="23">
        <v>600</v>
      </c>
      <c r="O183" s="23" t="s">
        <v>31</v>
      </c>
      <c r="P183" s="23" t="s">
        <v>247</v>
      </c>
      <c r="Q183" s="23" t="s">
        <v>248</v>
      </c>
      <c r="R183" s="23" t="s">
        <v>31</v>
      </c>
      <c r="S183" s="23" t="s">
        <v>31</v>
      </c>
      <c r="T183" s="23" t="s">
        <v>31</v>
      </c>
      <c r="U183" s="23" t="s">
        <v>31</v>
      </c>
      <c r="V183" s="23" t="s">
        <v>31</v>
      </c>
      <c r="W183" s="23" t="s">
        <v>31</v>
      </c>
      <c r="X183" s="30" t="s">
        <v>31</v>
      </c>
      <c r="Y183" s="35" t="s">
        <v>342</v>
      </c>
    </row>
    <row r="184" spans="1:25" hidden="1" x14ac:dyDescent="0.25">
      <c r="A184" s="24" t="s">
        <v>241</v>
      </c>
      <c r="B184" s="23" t="s">
        <v>242</v>
      </c>
      <c r="C184" s="23" t="s">
        <v>243</v>
      </c>
      <c r="D184" s="23" t="s">
        <v>244</v>
      </c>
      <c r="E184" s="23" t="s">
        <v>245</v>
      </c>
      <c r="F184" s="23">
        <v>2023</v>
      </c>
      <c r="G184" s="31" t="s">
        <v>101</v>
      </c>
      <c r="H184" s="33" t="s">
        <v>57</v>
      </c>
      <c r="I184" s="32" t="s">
        <v>31</v>
      </c>
      <c r="J184" s="24" t="s">
        <v>246</v>
      </c>
      <c r="K184" s="23">
        <v>0</v>
      </c>
      <c r="L184" s="23">
        <v>0</v>
      </c>
      <c r="M184" s="23">
        <v>400</v>
      </c>
      <c r="N184" s="23">
        <v>600</v>
      </c>
      <c r="O184" s="23" t="s">
        <v>31</v>
      </c>
      <c r="P184" s="23" t="s">
        <v>247</v>
      </c>
      <c r="Q184" s="23" t="s">
        <v>248</v>
      </c>
      <c r="R184" s="23" t="s">
        <v>31</v>
      </c>
      <c r="S184" s="23" t="s">
        <v>31</v>
      </c>
      <c r="T184" s="23" t="s">
        <v>31</v>
      </c>
      <c r="U184" s="23" t="s">
        <v>31</v>
      </c>
      <c r="V184" s="23" t="s">
        <v>31</v>
      </c>
      <c r="W184" s="23" t="s">
        <v>31</v>
      </c>
      <c r="X184" s="30" t="s">
        <v>31</v>
      </c>
      <c r="Y184" s="35" t="s">
        <v>342</v>
      </c>
    </row>
    <row r="185" spans="1:25" hidden="1" x14ac:dyDescent="0.25">
      <c r="A185" s="24" t="s">
        <v>241</v>
      </c>
      <c r="B185" s="23" t="s">
        <v>242</v>
      </c>
      <c r="C185" s="23" t="s">
        <v>243</v>
      </c>
      <c r="D185" s="23" t="s">
        <v>244</v>
      </c>
      <c r="E185" s="23" t="s">
        <v>245</v>
      </c>
      <c r="F185" s="23">
        <v>2023</v>
      </c>
      <c r="G185" s="31" t="s">
        <v>83</v>
      </c>
      <c r="H185" s="33" t="s">
        <v>57</v>
      </c>
      <c r="I185" s="32" t="s">
        <v>31</v>
      </c>
      <c r="J185" s="24" t="s">
        <v>246</v>
      </c>
      <c r="K185" s="23">
        <v>0</v>
      </c>
      <c r="L185" s="23">
        <v>0</v>
      </c>
      <c r="M185" s="23">
        <v>400</v>
      </c>
      <c r="N185" s="23">
        <v>600</v>
      </c>
      <c r="O185" s="23" t="s">
        <v>31</v>
      </c>
      <c r="P185" s="23" t="s">
        <v>247</v>
      </c>
      <c r="Q185" s="23" t="s">
        <v>248</v>
      </c>
      <c r="R185" s="23" t="s">
        <v>31</v>
      </c>
      <c r="S185" s="23" t="s">
        <v>31</v>
      </c>
      <c r="T185" s="23" t="s">
        <v>31</v>
      </c>
      <c r="U185" s="23" t="s">
        <v>31</v>
      </c>
      <c r="V185" s="23" t="s">
        <v>31</v>
      </c>
      <c r="W185" s="23" t="s">
        <v>31</v>
      </c>
      <c r="X185" s="30" t="s">
        <v>31</v>
      </c>
      <c r="Y185" s="35" t="s">
        <v>342</v>
      </c>
    </row>
    <row r="186" spans="1:25" hidden="1" x14ac:dyDescent="0.25">
      <c r="A186" s="24" t="s">
        <v>241</v>
      </c>
      <c r="B186" s="23" t="s">
        <v>242</v>
      </c>
      <c r="C186" s="23" t="s">
        <v>243</v>
      </c>
      <c r="D186" s="23" t="s">
        <v>244</v>
      </c>
      <c r="E186" s="23" t="s">
        <v>245</v>
      </c>
      <c r="F186" s="23">
        <v>2023</v>
      </c>
      <c r="G186" s="67" t="s">
        <v>154</v>
      </c>
      <c r="H186" s="69" t="s">
        <v>53</v>
      </c>
      <c r="I186" s="32" t="s">
        <v>31</v>
      </c>
      <c r="J186" s="24" t="s">
        <v>246</v>
      </c>
      <c r="K186" s="23">
        <v>0</v>
      </c>
      <c r="L186" s="23">
        <v>0</v>
      </c>
      <c r="M186" s="23">
        <v>400</v>
      </c>
      <c r="N186" s="23">
        <v>600</v>
      </c>
      <c r="O186" s="23" t="s">
        <v>31</v>
      </c>
      <c r="P186" s="23" t="s">
        <v>247</v>
      </c>
      <c r="Q186" s="23" t="s">
        <v>248</v>
      </c>
      <c r="R186" s="23" t="s">
        <v>31</v>
      </c>
      <c r="S186" s="23" t="s">
        <v>31</v>
      </c>
      <c r="T186" s="23" t="s">
        <v>31</v>
      </c>
      <c r="U186" s="23" t="s">
        <v>31</v>
      </c>
      <c r="V186" s="23" t="s">
        <v>31</v>
      </c>
      <c r="W186" s="23" t="s">
        <v>31</v>
      </c>
      <c r="X186" s="30" t="s">
        <v>31</v>
      </c>
      <c r="Y186" s="35" t="s">
        <v>342</v>
      </c>
    </row>
    <row r="187" spans="1:25" hidden="1" x14ac:dyDescent="0.25">
      <c r="A187" s="24" t="s">
        <v>241</v>
      </c>
      <c r="B187" s="23" t="s">
        <v>242</v>
      </c>
      <c r="C187" s="23" t="s">
        <v>243</v>
      </c>
      <c r="D187" s="23" t="s">
        <v>244</v>
      </c>
      <c r="E187" s="23" t="s">
        <v>245</v>
      </c>
      <c r="F187" s="23">
        <v>2023</v>
      </c>
      <c r="G187" s="67" t="s">
        <v>60</v>
      </c>
      <c r="H187" s="68" t="s">
        <v>53</v>
      </c>
      <c r="I187" s="32" t="s">
        <v>31</v>
      </c>
      <c r="J187" s="24" t="s">
        <v>246</v>
      </c>
      <c r="K187" s="23">
        <v>0</v>
      </c>
      <c r="L187" s="23">
        <v>0</v>
      </c>
      <c r="M187" s="23">
        <v>400</v>
      </c>
      <c r="N187" s="23">
        <v>600</v>
      </c>
      <c r="O187" s="23" t="s">
        <v>31</v>
      </c>
      <c r="P187" s="23" t="s">
        <v>247</v>
      </c>
      <c r="Q187" s="23" t="s">
        <v>248</v>
      </c>
      <c r="R187" s="23" t="s">
        <v>31</v>
      </c>
      <c r="S187" s="23" t="s">
        <v>31</v>
      </c>
      <c r="T187" s="23" t="s">
        <v>31</v>
      </c>
      <c r="U187" s="23" t="s">
        <v>31</v>
      </c>
      <c r="V187" s="23" t="s">
        <v>31</v>
      </c>
      <c r="W187" s="23" t="s">
        <v>31</v>
      </c>
      <c r="X187" s="30" t="s">
        <v>31</v>
      </c>
      <c r="Y187" s="35" t="s">
        <v>343</v>
      </c>
    </row>
    <row r="188" spans="1:25" hidden="1" x14ac:dyDescent="0.25">
      <c r="A188" s="24" t="s">
        <v>241</v>
      </c>
      <c r="B188" s="23" t="s">
        <v>242</v>
      </c>
      <c r="C188" s="23" t="s">
        <v>243</v>
      </c>
      <c r="D188" s="23" t="s">
        <v>244</v>
      </c>
      <c r="E188" s="23" t="s">
        <v>245</v>
      </c>
      <c r="F188" s="23">
        <v>2023</v>
      </c>
      <c r="G188" s="70" t="s">
        <v>157</v>
      </c>
      <c r="H188" s="69" t="s">
        <v>53</v>
      </c>
      <c r="I188" s="32" t="s">
        <v>31</v>
      </c>
      <c r="J188" s="24" t="s">
        <v>246</v>
      </c>
      <c r="K188" s="23">
        <v>0</v>
      </c>
      <c r="L188" s="23">
        <v>0</v>
      </c>
      <c r="M188" s="23">
        <v>400</v>
      </c>
      <c r="N188" s="23">
        <v>600</v>
      </c>
      <c r="O188" s="23" t="s">
        <v>31</v>
      </c>
      <c r="P188" s="23" t="s">
        <v>247</v>
      </c>
      <c r="Q188" s="23" t="s">
        <v>248</v>
      </c>
      <c r="R188" s="23" t="s">
        <v>31</v>
      </c>
      <c r="S188" s="23" t="s">
        <v>31</v>
      </c>
      <c r="T188" s="23" t="s">
        <v>31</v>
      </c>
      <c r="U188" s="23" t="s">
        <v>31</v>
      </c>
      <c r="V188" s="23" t="s">
        <v>31</v>
      </c>
      <c r="W188" s="23" t="s">
        <v>31</v>
      </c>
      <c r="X188" s="30" t="s">
        <v>31</v>
      </c>
      <c r="Y188" s="35" t="s">
        <v>342</v>
      </c>
    </row>
    <row r="189" spans="1:25" hidden="1" x14ac:dyDescent="0.25">
      <c r="A189" s="24" t="s">
        <v>241</v>
      </c>
      <c r="B189" s="23" t="s">
        <v>242</v>
      </c>
      <c r="C189" s="23" t="s">
        <v>243</v>
      </c>
      <c r="D189" s="23" t="s">
        <v>244</v>
      </c>
      <c r="E189" s="23" t="s">
        <v>245</v>
      </c>
      <c r="F189" s="23">
        <v>2023</v>
      </c>
      <c r="G189" s="31" t="s">
        <v>268</v>
      </c>
      <c r="H189" s="33" t="s">
        <v>344</v>
      </c>
      <c r="I189" s="32" t="s">
        <v>31</v>
      </c>
      <c r="J189" s="24" t="s">
        <v>246</v>
      </c>
      <c r="K189" s="23">
        <v>0</v>
      </c>
      <c r="L189" s="23">
        <v>0</v>
      </c>
      <c r="M189" s="23">
        <v>400</v>
      </c>
      <c r="N189" s="23">
        <v>600</v>
      </c>
      <c r="O189" s="23" t="s">
        <v>31</v>
      </c>
      <c r="P189" s="23" t="s">
        <v>247</v>
      </c>
      <c r="Q189" s="23" t="s">
        <v>248</v>
      </c>
      <c r="R189" s="23" t="s">
        <v>31</v>
      </c>
      <c r="S189" s="23" t="s">
        <v>31</v>
      </c>
      <c r="T189" s="23" t="s">
        <v>31</v>
      </c>
      <c r="U189" s="23" t="s">
        <v>31</v>
      </c>
      <c r="V189" s="23" t="s">
        <v>31</v>
      </c>
      <c r="W189" s="23" t="s">
        <v>31</v>
      </c>
      <c r="X189" s="30" t="s">
        <v>31</v>
      </c>
      <c r="Y189" s="35" t="s">
        <v>345</v>
      </c>
    </row>
    <row r="190" spans="1:25" hidden="1" x14ac:dyDescent="0.25">
      <c r="A190" s="24" t="s">
        <v>241</v>
      </c>
      <c r="B190" s="23" t="s">
        <v>242</v>
      </c>
      <c r="C190" s="23" t="s">
        <v>243</v>
      </c>
      <c r="D190" s="23" t="s">
        <v>244</v>
      </c>
      <c r="E190" s="23" t="s">
        <v>245</v>
      </c>
      <c r="F190" s="23">
        <v>2023</v>
      </c>
      <c r="G190" s="31" t="s">
        <v>346</v>
      </c>
      <c r="H190" s="33" t="s">
        <v>144</v>
      </c>
      <c r="I190" s="32" t="s">
        <v>31</v>
      </c>
      <c r="J190" s="24" t="s">
        <v>246</v>
      </c>
      <c r="K190" s="23">
        <v>0</v>
      </c>
      <c r="L190" s="23">
        <v>0</v>
      </c>
      <c r="M190" s="23">
        <v>400</v>
      </c>
      <c r="N190" s="23">
        <v>600</v>
      </c>
      <c r="O190" s="23" t="s">
        <v>31</v>
      </c>
      <c r="P190" s="23" t="s">
        <v>247</v>
      </c>
      <c r="Q190" s="23" t="s">
        <v>248</v>
      </c>
      <c r="R190" s="23" t="s">
        <v>31</v>
      </c>
      <c r="S190" s="23" t="s">
        <v>31</v>
      </c>
      <c r="T190" s="23" t="s">
        <v>31</v>
      </c>
      <c r="U190" s="23" t="s">
        <v>31</v>
      </c>
      <c r="V190" s="23" t="s">
        <v>31</v>
      </c>
      <c r="W190" s="23" t="s">
        <v>31</v>
      </c>
      <c r="X190" s="30" t="s">
        <v>31</v>
      </c>
      <c r="Y190" s="35" t="s">
        <v>347</v>
      </c>
    </row>
    <row r="191" spans="1:25" ht="23.25" hidden="1" x14ac:dyDescent="0.25">
      <c r="A191" s="24" t="s">
        <v>241</v>
      </c>
      <c r="B191" s="23" t="s">
        <v>242</v>
      </c>
      <c r="C191" s="23" t="s">
        <v>243</v>
      </c>
      <c r="D191" s="23" t="s">
        <v>244</v>
      </c>
      <c r="E191" s="23" t="s">
        <v>245</v>
      </c>
      <c r="F191" s="23">
        <v>2023</v>
      </c>
      <c r="G191" s="31" t="s">
        <v>254</v>
      </c>
      <c r="H191" s="33" t="s">
        <v>66</v>
      </c>
      <c r="I191" s="32" t="s">
        <v>31</v>
      </c>
      <c r="J191" s="24" t="s">
        <v>246</v>
      </c>
      <c r="K191" s="23">
        <v>0</v>
      </c>
      <c r="L191" s="23">
        <v>0</v>
      </c>
      <c r="M191" s="23">
        <v>400</v>
      </c>
      <c r="N191" s="23">
        <v>600</v>
      </c>
      <c r="O191" s="23" t="s">
        <v>31</v>
      </c>
      <c r="P191" s="23" t="s">
        <v>247</v>
      </c>
      <c r="Q191" s="23" t="s">
        <v>248</v>
      </c>
      <c r="R191" s="23" t="s">
        <v>31</v>
      </c>
      <c r="S191" s="23" t="s">
        <v>31</v>
      </c>
      <c r="T191" s="23" t="s">
        <v>31</v>
      </c>
      <c r="U191" s="23" t="s">
        <v>31</v>
      </c>
      <c r="V191" s="23" t="s">
        <v>31</v>
      </c>
      <c r="W191" s="23" t="s">
        <v>31</v>
      </c>
      <c r="X191" s="30" t="s">
        <v>31</v>
      </c>
      <c r="Y191" s="36" t="s">
        <v>348</v>
      </c>
    </row>
    <row r="192" spans="1:25" hidden="1" x14ac:dyDescent="0.25">
      <c r="A192" s="24" t="s">
        <v>241</v>
      </c>
      <c r="B192" s="23" t="s">
        <v>242</v>
      </c>
      <c r="C192" s="23" t="s">
        <v>243</v>
      </c>
      <c r="D192" s="23" t="s">
        <v>244</v>
      </c>
      <c r="E192" s="23" t="s">
        <v>245</v>
      </c>
      <c r="F192" s="23">
        <v>2023</v>
      </c>
      <c r="G192" s="31" t="s">
        <v>349</v>
      </c>
      <c r="H192" s="33" t="s">
        <v>66</v>
      </c>
      <c r="I192" s="32" t="s">
        <v>31</v>
      </c>
      <c r="J192" s="24" t="s">
        <v>246</v>
      </c>
      <c r="K192" s="23">
        <v>0</v>
      </c>
      <c r="L192" s="23">
        <v>0</v>
      </c>
      <c r="M192" s="23">
        <v>400</v>
      </c>
      <c r="N192" s="23">
        <v>600</v>
      </c>
      <c r="O192" s="23" t="s">
        <v>31</v>
      </c>
      <c r="P192" s="23" t="s">
        <v>247</v>
      </c>
      <c r="Q192" s="23" t="s">
        <v>248</v>
      </c>
      <c r="R192" s="23" t="s">
        <v>31</v>
      </c>
      <c r="S192" s="23" t="s">
        <v>31</v>
      </c>
      <c r="T192" s="23" t="s">
        <v>31</v>
      </c>
      <c r="U192" s="23" t="s">
        <v>31</v>
      </c>
      <c r="V192" s="23" t="s">
        <v>31</v>
      </c>
      <c r="W192" s="23" t="s">
        <v>31</v>
      </c>
      <c r="X192" s="30" t="s">
        <v>31</v>
      </c>
      <c r="Y192" s="35" t="s">
        <v>345</v>
      </c>
    </row>
    <row r="193" spans="1:25" ht="23.25" hidden="1" x14ac:dyDescent="0.25">
      <c r="A193" s="24" t="s">
        <v>241</v>
      </c>
      <c r="B193" s="23" t="s">
        <v>242</v>
      </c>
      <c r="C193" s="23" t="s">
        <v>243</v>
      </c>
      <c r="D193" s="23" t="s">
        <v>244</v>
      </c>
      <c r="E193" s="23" t="s">
        <v>245</v>
      </c>
      <c r="F193" s="23">
        <v>2023</v>
      </c>
      <c r="G193" s="31" t="s">
        <v>350</v>
      </c>
      <c r="H193" s="33" t="s">
        <v>66</v>
      </c>
      <c r="I193" s="32" t="s">
        <v>31</v>
      </c>
      <c r="J193" s="24" t="s">
        <v>246</v>
      </c>
      <c r="K193" s="23">
        <v>0</v>
      </c>
      <c r="L193" s="23">
        <v>0</v>
      </c>
      <c r="M193" s="23">
        <v>400</v>
      </c>
      <c r="N193" s="23">
        <v>600</v>
      </c>
      <c r="O193" s="23" t="s">
        <v>31</v>
      </c>
      <c r="P193" s="23" t="s">
        <v>247</v>
      </c>
      <c r="Q193" s="23" t="s">
        <v>248</v>
      </c>
      <c r="R193" s="23" t="s">
        <v>31</v>
      </c>
      <c r="S193" s="23" t="s">
        <v>31</v>
      </c>
      <c r="T193" s="23" t="s">
        <v>31</v>
      </c>
      <c r="U193" s="23" t="s">
        <v>31</v>
      </c>
      <c r="V193" s="23" t="s">
        <v>31</v>
      </c>
      <c r="W193" s="23" t="s">
        <v>31</v>
      </c>
      <c r="X193" s="30" t="s">
        <v>31</v>
      </c>
      <c r="Y193" s="36" t="s">
        <v>348</v>
      </c>
    </row>
    <row r="194" spans="1:25" hidden="1" x14ac:dyDescent="0.25">
      <c r="A194" s="24" t="s">
        <v>241</v>
      </c>
      <c r="B194" s="23" t="s">
        <v>242</v>
      </c>
      <c r="C194" s="23" t="s">
        <v>243</v>
      </c>
      <c r="D194" s="23" t="s">
        <v>244</v>
      </c>
      <c r="E194" s="23" t="s">
        <v>245</v>
      </c>
      <c r="F194" s="23">
        <v>2023</v>
      </c>
      <c r="G194" s="31" t="s">
        <v>257</v>
      </c>
      <c r="H194" s="33" t="s">
        <v>49</v>
      </c>
      <c r="I194" s="32" t="s">
        <v>31</v>
      </c>
      <c r="J194" s="24" t="s">
        <v>246</v>
      </c>
      <c r="K194" s="23">
        <v>0</v>
      </c>
      <c r="L194" s="23">
        <v>0</v>
      </c>
      <c r="M194" s="23">
        <v>400</v>
      </c>
      <c r="N194" s="23">
        <v>600</v>
      </c>
      <c r="O194" s="23" t="s">
        <v>31</v>
      </c>
      <c r="P194" s="23" t="s">
        <v>247</v>
      </c>
      <c r="Q194" s="23" t="s">
        <v>248</v>
      </c>
      <c r="R194" s="23" t="s">
        <v>31</v>
      </c>
      <c r="S194" s="23" t="s">
        <v>31</v>
      </c>
      <c r="T194" s="23" t="s">
        <v>31</v>
      </c>
      <c r="U194" s="23" t="s">
        <v>31</v>
      </c>
      <c r="V194" s="23" t="s">
        <v>31</v>
      </c>
      <c r="W194" s="23" t="s">
        <v>31</v>
      </c>
      <c r="X194" s="30" t="s">
        <v>31</v>
      </c>
      <c r="Y194" s="35" t="s">
        <v>342</v>
      </c>
    </row>
    <row r="195" spans="1:25" hidden="1" x14ac:dyDescent="0.25">
      <c r="A195" s="24" t="s">
        <v>241</v>
      </c>
      <c r="B195" s="23" t="s">
        <v>242</v>
      </c>
      <c r="C195" s="23" t="s">
        <v>243</v>
      </c>
      <c r="D195" s="23" t="s">
        <v>244</v>
      </c>
      <c r="E195" s="23" t="s">
        <v>245</v>
      </c>
      <c r="F195" s="23">
        <v>2023</v>
      </c>
      <c r="G195" s="67" t="s">
        <v>160</v>
      </c>
      <c r="H195" s="68" t="s">
        <v>161</v>
      </c>
      <c r="I195" s="32" t="s">
        <v>31</v>
      </c>
      <c r="J195" s="24" t="s">
        <v>246</v>
      </c>
      <c r="K195" s="23">
        <v>0</v>
      </c>
      <c r="L195" s="23">
        <v>0</v>
      </c>
      <c r="M195" s="23">
        <v>400</v>
      </c>
      <c r="N195" s="23">
        <v>600</v>
      </c>
      <c r="O195" s="23" t="s">
        <v>31</v>
      </c>
      <c r="P195" s="23" t="s">
        <v>247</v>
      </c>
      <c r="Q195" s="23" t="s">
        <v>248</v>
      </c>
      <c r="R195" s="23" t="s">
        <v>31</v>
      </c>
      <c r="S195" s="23" t="s">
        <v>31</v>
      </c>
      <c r="T195" s="23" t="s">
        <v>31</v>
      </c>
      <c r="U195" s="23" t="s">
        <v>31</v>
      </c>
      <c r="V195" s="23" t="s">
        <v>31</v>
      </c>
      <c r="W195" s="23" t="s">
        <v>31</v>
      </c>
      <c r="X195" s="30" t="s">
        <v>31</v>
      </c>
      <c r="Y195" s="35" t="s">
        <v>342</v>
      </c>
    </row>
    <row r="196" spans="1:25" hidden="1" x14ac:dyDescent="0.25">
      <c r="A196" s="37" t="s">
        <v>31</v>
      </c>
      <c r="B196" s="38" t="s">
        <v>31</v>
      </c>
      <c r="C196" s="38" t="s">
        <v>31</v>
      </c>
      <c r="D196" s="38" t="s">
        <v>31</v>
      </c>
      <c r="E196" s="38" t="s">
        <v>31</v>
      </c>
      <c r="F196" s="38" t="s">
        <v>31</v>
      </c>
      <c r="G196" s="22" t="s">
        <v>31</v>
      </c>
      <c r="H196" s="22" t="s">
        <v>31</v>
      </c>
      <c r="I196" s="22" t="s">
        <v>31</v>
      </c>
      <c r="J196" s="38" t="s">
        <v>31</v>
      </c>
      <c r="K196" s="23" t="s">
        <v>31</v>
      </c>
      <c r="L196" s="23" t="s">
        <v>31</v>
      </c>
      <c r="M196" s="23" t="s">
        <v>31</v>
      </c>
      <c r="N196" s="23" t="s">
        <v>31</v>
      </c>
      <c r="O196" s="23" t="s">
        <v>31</v>
      </c>
      <c r="P196" s="38" t="s">
        <v>31</v>
      </c>
      <c r="Q196" s="38" t="s">
        <v>31</v>
      </c>
      <c r="R196" s="38" t="s">
        <v>31</v>
      </c>
      <c r="S196" s="23" t="s">
        <v>31</v>
      </c>
      <c r="T196" s="23" t="s">
        <v>31</v>
      </c>
      <c r="U196" s="38" t="s">
        <v>31</v>
      </c>
      <c r="V196" s="23" t="s">
        <v>31</v>
      </c>
      <c r="W196" s="23" t="s">
        <v>31</v>
      </c>
      <c r="X196" s="22" t="s">
        <v>31</v>
      </c>
      <c r="Y196" s="39" t="s">
        <v>31</v>
      </c>
    </row>
    <row r="197" spans="1:25" hidden="1" x14ac:dyDescent="0.25">
      <c r="A197" s="37" t="s">
        <v>31</v>
      </c>
      <c r="B197" s="38" t="s">
        <v>31</v>
      </c>
      <c r="C197" s="38" t="s">
        <v>31</v>
      </c>
      <c r="D197" s="38" t="s">
        <v>31</v>
      </c>
      <c r="E197" s="38" t="s">
        <v>31</v>
      </c>
      <c r="F197" s="38" t="s">
        <v>31</v>
      </c>
      <c r="G197" s="23" t="s">
        <v>31</v>
      </c>
      <c r="H197" s="23" t="s">
        <v>31</v>
      </c>
      <c r="I197" s="23" t="s">
        <v>31</v>
      </c>
      <c r="J197" s="38" t="s">
        <v>31</v>
      </c>
      <c r="K197" s="23" t="s">
        <v>31</v>
      </c>
      <c r="L197" s="23" t="s">
        <v>31</v>
      </c>
      <c r="M197" s="23" t="s">
        <v>31</v>
      </c>
      <c r="N197" s="23" t="s">
        <v>31</v>
      </c>
      <c r="O197" s="23" t="s">
        <v>31</v>
      </c>
      <c r="P197" s="38" t="s">
        <v>31</v>
      </c>
      <c r="Q197" s="38" t="s">
        <v>31</v>
      </c>
      <c r="R197" s="38" t="s">
        <v>31</v>
      </c>
      <c r="S197" s="23" t="s">
        <v>31</v>
      </c>
      <c r="T197" s="23" t="s">
        <v>31</v>
      </c>
      <c r="U197" s="38" t="s">
        <v>31</v>
      </c>
      <c r="V197" s="23" t="s">
        <v>31</v>
      </c>
      <c r="W197" s="23" t="s">
        <v>31</v>
      </c>
      <c r="X197" s="23" t="s">
        <v>31</v>
      </c>
      <c r="Y197" s="38" t="s">
        <v>31</v>
      </c>
    </row>
    <row r="198" spans="1:25" hidden="1" x14ac:dyDescent="0.25">
      <c r="A198" s="37" t="s">
        <v>31</v>
      </c>
      <c r="B198" s="38" t="s">
        <v>31</v>
      </c>
      <c r="C198" s="38" t="s">
        <v>31</v>
      </c>
      <c r="D198" s="38" t="s">
        <v>31</v>
      </c>
      <c r="E198" s="38" t="s">
        <v>31</v>
      </c>
      <c r="F198" s="38" t="s">
        <v>31</v>
      </c>
      <c r="G198" s="23" t="s">
        <v>31</v>
      </c>
      <c r="H198" s="23" t="s">
        <v>31</v>
      </c>
      <c r="I198" s="23" t="s">
        <v>31</v>
      </c>
      <c r="J198" s="38" t="s">
        <v>31</v>
      </c>
      <c r="K198" s="23" t="s">
        <v>31</v>
      </c>
      <c r="L198" s="23" t="s">
        <v>31</v>
      </c>
      <c r="M198" s="23" t="s">
        <v>31</v>
      </c>
      <c r="N198" s="23" t="s">
        <v>31</v>
      </c>
      <c r="O198" s="23" t="s">
        <v>31</v>
      </c>
      <c r="P198" s="38" t="s">
        <v>31</v>
      </c>
      <c r="Q198" s="38" t="s">
        <v>31</v>
      </c>
      <c r="R198" s="38" t="s">
        <v>31</v>
      </c>
      <c r="S198" s="23" t="s">
        <v>31</v>
      </c>
      <c r="T198" s="23" t="s">
        <v>31</v>
      </c>
      <c r="U198" s="38" t="s">
        <v>31</v>
      </c>
      <c r="V198" s="23" t="s">
        <v>31</v>
      </c>
      <c r="W198" s="23" t="s">
        <v>31</v>
      </c>
      <c r="X198" s="23" t="s">
        <v>31</v>
      </c>
      <c r="Y198" s="38" t="s">
        <v>31</v>
      </c>
    </row>
    <row r="199" spans="1:25" hidden="1" x14ac:dyDescent="0.25">
      <c r="A199" s="40" t="s">
        <v>31</v>
      </c>
      <c r="B199" s="41" t="s">
        <v>31</v>
      </c>
      <c r="C199" s="41" t="s">
        <v>31</v>
      </c>
      <c r="D199" s="41" t="s">
        <v>31</v>
      </c>
      <c r="E199" s="41" t="s">
        <v>31</v>
      </c>
      <c r="F199" s="41" t="s">
        <v>31</v>
      </c>
      <c r="G199" s="42" t="s">
        <v>31</v>
      </c>
      <c r="H199" s="42" t="s">
        <v>31</v>
      </c>
      <c r="I199" s="42" t="s">
        <v>31</v>
      </c>
      <c r="J199" s="41" t="s">
        <v>31</v>
      </c>
      <c r="K199" s="42" t="s">
        <v>31</v>
      </c>
      <c r="L199" s="42" t="s">
        <v>31</v>
      </c>
      <c r="M199" s="42" t="s">
        <v>31</v>
      </c>
      <c r="N199" s="42" t="s">
        <v>31</v>
      </c>
      <c r="O199" s="42" t="s">
        <v>31</v>
      </c>
      <c r="P199" s="41" t="s">
        <v>31</v>
      </c>
      <c r="Q199" s="41" t="s">
        <v>31</v>
      </c>
      <c r="R199" s="41" t="s">
        <v>31</v>
      </c>
      <c r="S199" s="42" t="s">
        <v>31</v>
      </c>
      <c r="T199" s="42" t="s">
        <v>31</v>
      </c>
      <c r="U199" s="41" t="s">
        <v>31</v>
      </c>
      <c r="V199" s="42" t="s">
        <v>31</v>
      </c>
      <c r="W199" s="41" t="s">
        <v>31</v>
      </c>
      <c r="X199" s="41" t="s">
        <v>31</v>
      </c>
      <c r="Y199" s="41" t="s">
        <v>31</v>
      </c>
    </row>
    <row r="200" spans="1:25" hidden="1" x14ac:dyDescent="0.25">
      <c r="A200" s="40" t="s">
        <v>31</v>
      </c>
      <c r="B200" s="41" t="s">
        <v>31</v>
      </c>
      <c r="C200" s="41" t="s">
        <v>31</v>
      </c>
      <c r="D200" s="41" t="s">
        <v>31</v>
      </c>
      <c r="E200" s="41" t="s">
        <v>31</v>
      </c>
      <c r="F200" s="41" t="s">
        <v>31</v>
      </c>
      <c r="G200" s="42" t="s">
        <v>31</v>
      </c>
      <c r="H200" s="42" t="s">
        <v>31</v>
      </c>
      <c r="I200" s="42" t="s">
        <v>31</v>
      </c>
      <c r="J200" s="41" t="s">
        <v>31</v>
      </c>
      <c r="K200" s="42" t="s">
        <v>31</v>
      </c>
      <c r="L200" s="42" t="s">
        <v>31</v>
      </c>
      <c r="M200" s="42" t="s">
        <v>31</v>
      </c>
      <c r="N200" s="42" t="s">
        <v>31</v>
      </c>
      <c r="O200" s="42" t="s">
        <v>31</v>
      </c>
      <c r="P200" s="41" t="s">
        <v>31</v>
      </c>
      <c r="Q200" s="41" t="s">
        <v>31</v>
      </c>
      <c r="R200" s="41" t="s">
        <v>31</v>
      </c>
      <c r="S200" s="42" t="s">
        <v>31</v>
      </c>
      <c r="T200" s="42" t="s">
        <v>31</v>
      </c>
      <c r="U200" s="41" t="s">
        <v>31</v>
      </c>
      <c r="V200" s="42" t="s">
        <v>31</v>
      </c>
      <c r="W200" s="41" t="s">
        <v>31</v>
      </c>
      <c r="X200" s="41" t="s">
        <v>31</v>
      </c>
      <c r="Y200" s="41" t="s">
        <v>31</v>
      </c>
    </row>
    <row r="201" spans="1:25" hidden="1" x14ac:dyDescent="0.25">
      <c r="A201" s="40" t="s">
        <v>31</v>
      </c>
      <c r="B201" s="41" t="s">
        <v>31</v>
      </c>
      <c r="C201" s="41" t="s">
        <v>31</v>
      </c>
      <c r="D201" s="41" t="s">
        <v>31</v>
      </c>
      <c r="E201" s="41" t="s">
        <v>31</v>
      </c>
      <c r="F201" s="41" t="s">
        <v>31</v>
      </c>
      <c r="G201" s="42" t="s">
        <v>31</v>
      </c>
      <c r="H201" s="42" t="s">
        <v>31</v>
      </c>
      <c r="I201" s="42" t="s">
        <v>31</v>
      </c>
      <c r="J201" s="41" t="s">
        <v>31</v>
      </c>
      <c r="K201" s="42" t="s">
        <v>31</v>
      </c>
      <c r="L201" s="42" t="s">
        <v>31</v>
      </c>
      <c r="M201" s="42" t="s">
        <v>31</v>
      </c>
      <c r="N201" s="42" t="s">
        <v>31</v>
      </c>
      <c r="O201" s="42" t="s">
        <v>31</v>
      </c>
      <c r="P201" s="41" t="s">
        <v>31</v>
      </c>
      <c r="Q201" s="41" t="s">
        <v>31</v>
      </c>
      <c r="R201" s="41" t="s">
        <v>31</v>
      </c>
      <c r="S201" s="42" t="s">
        <v>31</v>
      </c>
      <c r="T201" s="42" t="s">
        <v>31</v>
      </c>
      <c r="U201" s="41" t="s">
        <v>31</v>
      </c>
      <c r="V201" s="42" t="s">
        <v>31</v>
      </c>
      <c r="W201" s="41" t="s">
        <v>31</v>
      </c>
      <c r="X201" s="41" t="s">
        <v>31</v>
      </c>
      <c r="Y201" s="41" t="s">
        <v>31</v>
      </c>
    </row>
    <row r="202" spans="1:25" hidden="1" x14ac:dyDescent="0.25">
      <c r="A202" s="40" t="s">
        <v>31</v>
      </c>
      <c r="B202" s="41" t="s">
        <v>31</v>
      </c>
      <c r="C202" s="41" t="s">
        <v>31</v>
      </c>
      <c r="D202" s="41" t="s">
        <v>31</v>
      </c>
      <c r="E202" s="41" t="s">
        <v>31</v>
      </c>
      <c r="F202" s="41" t="s">
        <v>31</v>
      </c>
      <c r="G202" s="42" t="s">
        <v>31</v>
      </c>
      <c r="H202" s="42" t="s">
        <v>31</v>
      </c>
      <c r="I202" s="42" t="s">
        <v>31</v>
      </c>
      <c r="J202" s="41" t="s">
        <v>31</v>
      </c>
      <c r="K202" s="42" t="s">
        <v>31</v>
      </c>
      <c r="L202" s="42" t="s">
        <v>31</v>
      </c>
      <c r="M202" s="42" t="s">
        <v>31</v>
      </c>
      <c r="N202" s="42" t="s">
        <v>31</v>
      </c>
      <c r="O202" s="42" t="s">
        <v>31</v>
      </c>
      <c r="P202" s="41" t="s">
        <v>31</v>
      </c>
      <c r="Q202" s="41" t="s">
        <v>31</v>
      </c>
      <c r="R202" s="41" t="s">
        <v>31</v>
      </c>
      <c r="S202" s="42" t="s">
        <v>31</v>
      </c>
      <c r="T202" s="42" t="s">
        <v>31</v>
      </c>
      <c r="U202" s="41" t="s">
        <v>31</v>
      </c>
      <c r="V202" s="42" t="s">
        <v>31</v>
      </c>
      <c r="W202" s="41" t="s">
        <v>31</v>
      </c>
      <c r="X202" s="41" t="s">
        <v>31</v>
      </c>
      <c r="Y202" s="41" t="s">
        <v>31</v>
      </c>
    </row>
    <row r="203" spans="1:25" hidden="1" x14ac:dyDescent="0.25">
      <c r="A203" s="40" t="s">
        <v>31</v>
      </c>
      <c r="B203" s="41" t="s">
        <v>31</v>
      </c>
      <c r="C203" s="41" t="s">
        <v>31</v>
      </c>
      <c r="D203" s="41" t="s">
        <v>31</v>
      </c>
      <c r="E203" s="41" t="s">
        <v>31</v>
      </c>
      <c r="F203" s="41" t="s">
        <v>31</v>
      </c>
      <c r="G203" s="42" t="s">
        <v>31</v>
      </c>
      <c r="H203" s="42" t="s">
        <v>31</v>
      </c>
      <c r="I203" s="42" t="s">
        <v>31</v>
      </c>
      <c r="J203" s="41" t="s">
        <v>31</v>
      </c>
      <c r="K203" s="42" t="s">
        <v>31</v>
      </c>
      <c r="L203" s="42" t="s">
        <v>31</v>
      </c>
      <c r="M203" s="42" t="s">
        <v>31</v>
      </c>
      <c r="N203" s="42" t="s">
        <v>31</v>
      </c>
      <c r="O203" s="42" t="s">
        <v>31</v>
      </c>
      <c r="P203" s="41" t="s">
        <v>31</v>
      </c>
      <c r="Q203" s="41" t="s">
        <v>31</v>
      </c>
      <c r="R203" s="41" t="s">
        <v>31</v>
      </c>
      <c r="S203" s="42" t="s">
        <v>31</v>
      </c>
      <c r="T203" s="42" t="s">
        <v>31</v>
      </c>
      <c r="U203" s="41" t="s">
        <v>31</v>
      </c>
      <c r="V203" s="42" t="s">
        <v>31</v>
      </c>
      <c r="W203" s="41" t="s">
        <v>31</v>
      </c>
      <c r="X203" s="41" t="s">
        <v>31</v>
      </c>
      <c r="Y203" s="41" t="s">
        <v>31</v>
      </c>
    </row>
    <row r="204" spans="1:25" hidden="1" x14ac:dyDescent="0.25">
      <c r="A204" s="40" t="s">
        <v>31</v>
      </c>
      <c r="B204" s="41" t="s">
        <v>31</v>
      </c>
      <c r="C204" s="41" t="s">
        <v>31</v>
      </c>
      <c r="D204" s="41" t="s">
        <v>31</v>
      </c>
      <c r="E204" s="41" t="s">
        <v>31</v>
      </c>
      <c r="F204" s="41" t="s">
        <v>31</v>
      </c>
      <c r="G204" s="42" t="s">
        <v>31</v>
      </c>
      <c r="H204" s="42" t="s">
        <v>31</v>
      </c>
      <c r="I204" s="42" t="s">
        <v>31</v>
      </c>
      <c r="J204" s="41" t="s">
        <v>31</v>
      </c>
      <c r="K204" s="42" t="s">
        <v>31</v>
      </c>
      <c r="L204" s="42" t="s">
        <v>31</v>
      </c>
      <c r="M204" s="42" t="s">
        <v>31</v>
      </c>
      <c r="N204" s="42" t="s">
        <v>31</v>
      </c>
      <c r="O204" s="42" t="s">
        <v>31</v>
      </c>
      <c r="P204" s="41" t="s">
        <v>31</v>
      </c>
      <c r="Q204" s="41" t="s">
        <v>31</v>
      </c>
      <c r="R204" s="41" t="s">
        <v>31</v>
      </c>
      <c r="S204" s="42" t="s">
        <v>31</v>
      </c>
      <c r="T204" s="42" t="s">
        <v>31</v>
      </c>
      <c r="U204" s="41" t="s">
        <v>31</v>
      </c>
      <c r="V204" s="42" t="s">
        <v>31</v>
      </c>
      <c r="W204" s="41" t="s">
        <v>31</v>
      </c>
      <c r="X204" s="41" t="s">
        <v>31</v>
      </c>
      <c r="Y204" s="41" t="s">
        <v>31</v>
      </c>
    </row>
    <row r="205" spans="1:25" hidden="1" x14ac:dyDescent="0.25">
      <c r="A205" s="40" t="s">
        <v>31</v>
      </c>
      <c r="B205" s="41" t="s">
        <v>31</v>
      </c>
      <c r="C205" s="41" t="s">
        <v>31</v>
      </c>
      <c r="D205" s="41" t="s">
        <v>31</v>
      </c>
      <c r="E205" s="41" t="s">
        <v>31</v>
      </c>
      <c r="F205" s="41" t="s">
        <v>31</v>
      </c>
      <c r="G205" s="42" t="s">
        <v>31</v>
      </c>
      <c r="H205" s="42" t="s">
        <v>31</v>
      </c>
      <c r="I205" s="42" t="s">
        <v>31</v>
      </c>
      <c r="J205" s="41" t="s">
        <v>31</v>
      </c>
      <c r="K205" s="42" t="s">
        <v>31</v>
      </c>
      <c r="L205" s="42" t="s">
        <v>31</v>
      </c>
      <c r="M205" s="42" t="s">
        <v>31</v>
      </c>
      <c r="N205" s="42" t="s">
        <v>31</v>
      </c>
      <c r="O205" s="42" t="s">
        <v>31</v>
      </c>
      <c r="P205" s="41" t="s">
        <v>31</v>
      </c>
      <c r="Q205" s="41" t="s">
        <v>31</v>
      </c>
      <c r="R205" s="41" t="s">
        <v>31</v>
      </c>
      <c r="S205" s="42" t="s">
        <v>31</v>
      </c>
      <c r="T205" s="42" t="s">
        <v>31</v>
      </c>
      <c r="U205" s="41" t="s">
        <v>31</v>
      </c>
      <c r="V205" s="42" t="s">
        <v>31</v>
      </c>
      <c r="W205" s="41" t="s">
        <v>31</v>
      </c>
      <c r="X205" s="41" t="s">
        <v>31</v>
      </c>
      <c r="Y205" s="41" t="s">
        <v>31</v>
      </c>
    </row>
    <row r="206" spans="1:25" hidden="1" x14ac:dyDescent="0.25">
      <c r="A206" s="40" t="s">
        <v>31</v>
      </c>
      <c r="B206" s="41" t="s">
        <v>31</v>
      </c>
      <c r="C206" s="41" t="s">
        <v>31</v>
      </c>
      <c r="D206" s="41" t="s">
        <v>31</v>
      </c>
      <c r="E206" s="41" t="s">
        <v>31</v>
      </c>
      <c r="F206" s="41" t="s">
        <v>31</v>
      </c>
      <c r="G206" s="42" t="s">
        <v>31</v>
      </c>
      <c r="H206" s="42" t="s">
        <v>31</v>
      </c>
      <c r="I206" s="42" t="s">
        <v>31</v>
      </c>
      <c r="J206" s="41" t="s">
        <v>31</v>
      </c>
      <c r="K206" s="42" t="s">
        <v>31</v>
      </c>
      <c r="L206" s="42" t="s">
        <v>31</v>
      </c>
      <c r="M206" s="42" t="s">
        <v>31</v>
      </c>
      <c r="N206" s="42" t="s">
        <v>31</v>
      </c>
      <c r="O206" s="42" t="s">
        <v>31</v>
      </c>
      <c r="P206" s="41" t="s">
        <v>31</v>
      </c>
      <c r="Q206" s="41" t="s">
        <v>31</v>
      </c>
      <c r="R206" s="41" t="s">
        <v>31</v>
      </c>
      <c r="S206" s="42" t="s">
        <v>31</v>
      </c>
      <c r="T206" s="42" t="s">
        <v>31</v>
      </c>
      <c r="U206" s="41" t="s">
        <v>31</v>
      </c>
      <c r="V206" s="42" t="s">
        <v>31</v>
      </c>
      <c r="W206" s="41" t="s">
        <v>31</v>
      </c>
      <c r="X206" s="41" t="s">
        <v>31</v>
      </c>
      <c r="Y206" s="41" t="s">
        <v>31</v>
      </c>
    </row>
    <row r="207" spans="1:25" hidden="1" x14ac:dyDescent="0.25">
      <c r="A207" s="37" t="s">
        <v>31</v>
      </c>
      <c r="B207" s="38" t="s">
        <v>31</v>
      </c>
      <c r="C207" s="38" t="s">
        <v>31</v>
      </c>
      <c r="D207" s="38" t="s">
        <v>31</v>
      </c>
      <c r="E207" s="38" t="s">
        <v>31</v>
      </c>
      <c r="F207" s="38" t="s">
        <v>31</v>
      </c>
      <c r="G207" s="23" t="s">
        <v>31</v>
      </c>
      <c r="H207" s="23" t="s">
        <v>31</v>
      </c>
      <c r="I207" s="23" t="s">
        <v>31</v>
      </c>
      <c r="J207" s="38" t="s">
        <v>31</v>
      </c>
      <c r="K207" s="23" t="s">
        <v>31</v>
      </c>
      <c r="L207" s="23" t="s">
        <v>31</v>
      </c>
      <c r="M207" s="23" t="s">
        <v>31</v>
      </c>
      <c r="N207" s="23" t="s">
        <v>31</v>
      </c>
      <c r="O207" s="23" t="s">
        <v>31</v>
      </c>
      <c r="P207" s="38" t="s">
        <v>31</v>
      </c>
      <c r="Q207" s="38" t="s">
        <v>31</v>
      </c>
      <c r="R207" s="38" t="s">
        <v>31</v>
      </c>
      <c r="S207" s="23" t="s">
        <v>31</v>
      </c>
      <c r="T207" s="23" t="s">
        <v>31</v>
      </c>
      <c r="U207" s="38" t="s">
        <v>31</v>
      </c>
      <c r="V207" s="23" t="s">
        <v>31</v>
      </c>
      <c r="W207" s="38" t="s">
        <v>31</v>
      </c>
      <c r="X207" s="38" t="s">
        <v>31</v>
      </c>
      <c r="Y207" s="38" t="s">
        <v>31</v>
      </c>
    </row>
    <row r="208" spans="1:25" hidden="1" x14ac:dyDescent="0.25">
      <c r="A208" s="37" t="s">
        <v>31</v>
      </c>
      <c r="B208" s="38" t="s">
        <v>31</v>
      </c>
      <c r="C208" s="38" t="s">
        <v>31</v>
      </c>
      <c r="D208" s="38" t="s">
        <v>31</v>
      </c>
      <c r="E208" s="38" t="s">
        <v>31</v>
      </c>
      <c r="F208" s="38" t="s">
        <v>31</v>
      </c>
      <c r="G208" s="23" t="s">
        <v>31</v>
      </c>
      <c r="H208" s="23" t="s">
        <v>31</v>
      </c>
      <c r="I208" s="23" t="s">
        <v>31</v>
      </c>
      <c r="J208" s="38" t="s">
        <v>31</v>
      </c>
      <c r="K208" s="23" t="s">
        <v>31</v>
      </c>
      <c r="L208" s="23" t="s">
        <v>31</v>
      </c>
      <c r="M208" s="23" t="s">
        <v>31</v>
      </c>
      <c r="N208" s="23" t="s">
        <v>31</v>
      </c>
      <c r="O208" s="23" t="s">
        <v>31</v>
      </c>
      <c r="P208" s="38" t="s">
        <v>31</v>
      </c>
      <c r="Q208" s="38" t="s">
        <v>31</v>
      </c>
      <c r="R208" s="38" t="s">
        <v>31</v>
      </c>
      <c r="S208" s="23" t="s">
        <v>31</v>
      </c>
      <c r="T208" s="23" t="s">
        <v>31</v>
      </c>
      <c r="U208" s="38" t="s">
        <v>31</v>
      </c>
      <c r="V208" s="23" t="s">
        <v>31</v>
      </c>
      <c r="W208" s="38" t="s">
        <v>31</v>
      </c>
      <c r="X208" s="38" t="s">
        <v>31</v>
      </c>
      <c r="Y208" s="38" t="s">
        <v>31</v>
      </c>
    </row>
    <row r="209" spans="1:25" hidden="1" x14ac:dyDescent="0.25">
      <c r="A209" s="37" t="s">
        <v>31</v>
      </c>
      <c r="B209" s="38" t="s">
        <v>31</v>
      </c>
      <c r="C209" s="38" t="s">
        <v>31</v>
      </c>
      <c r="D209" s="38" t="s">
        <v>31</v>
      </c>
      <c r="E209" s="38" t="s">
        <v>31</v>
      </c>
      <c r="F209" s="38" t="s">
        <v>31</v>
      </c>
      <c r="G209" s="23" t="s">
        <v>31</v>
      </c>
      <c r="H209" s="23" t="s">
        <v>31</v>
      </c>
      <c r="I209" s="23" t="s">
        <v>31</v>
      </c>
      <c r="J209" s="38" t="s">
        <v>31</v>
      </c>
      <c r="K209" s="23" t="s">
        <v>31</v>
      </c>
      <c r="L209" s="23" t="s">
        <v>31</v>
      </c>
      <c r="M209" s="23" t="s">
        <v>31</v>
      </c>
      <c r="N209" s="23" t="s">
        <v>31</v>
      </c>
      <c r="O209" s="23" t="s">
        <v>31</v>
      </c>
      <c r="P209" s="38" t="s">
        <v>31</v>
      </c>
      <c r="Q209" s="38" t="s">
        <v>31</v>
      </c>
      <c r="R209" s="38" t="s">
        <v>31</v>
      </c>
      <c r="S209" s="23" t="s">
        <v>31</v>
      </c>
      <c r="T209" s="23" t="s">
        <v>31</v>
      </c>
      <c r="U209" s="38" t="s">
        <v>31</v>
      </c>
      <c r="V209" s="23" t="s">
        <v>31</v>
      </c>
      <c r="W209" s="38" t="s">
        <v>31</v>
      </c>
      <c r="X209" s="38" t="s">
        <v>31</v>
      </c>
      <c r="Y209" s="38" t="s">
        <v>31</v>
      </c>
    </row>
    <row r="210" spans="1:25" hidden="1" x14ac:dyDescent="0.25">
      <c r="A210" s="37" t="s">
        <v>31</v>
      </c>
      <c r="B210" s="38" t="s">
        <v>31</v>
      </c>
      <c r="C210" s="38" t="s">
        <v>31</v>
      </c>
      <c r="D210" s="38" t="s">
        <v>31</v>
      </c>
      <c r="E210" s="38" t="s">
        <v>31</v>
      </c>
      <c r="F210" s="38" t="s">
        <v>31</v>
      </c>
      <c r="G210" s="23" t="s">
        <v>31</v>
      </c>
      <c r="H210" s="23" t="s">
        <v>31</v>
      </c>
      <c r="I210" s="23" t="s">
        <v>31</v>
      </c>
      <c r="J210" s="38" t="s">
        <v>31</v>
      </c>
      <c r="K210" s="23" t="s">
        <v>31</v>
      </c>
      <c r="L210" s="23" t="s">
        <v>31</v>
      </c>
      <c r="M210" s="23" t="s">
        <v>31</v>
      </c>
      <c r="N210" s="23" t="s">
        <v>31</v>
      </c>
      <c r="O210" s="23" t="s">
        <v>31</v>
      </c>
      <c r="P210" s="38" t="s">
        <v>31</v>
      </c>
      <c r="Q210" s="38" t="s">
        <v>31</v>
      </c>
      <c r="R210" s="38" t="s">
        <v>31</v>
      </c>
      <c r="S210" s="23" t="s">
        <v>31</v>
      </c>
      <c r="T210" s="23" t="s">
        <v>31</v>
      </c>
      <c r="U210" s="38" t="s">
        <v>31</v>
      </c>
      <c r="V210" s="23" t="s">
        <v>31</v>
      </c>
      <c r="W210" s="38" t="s">
        <v>31</v>
      </c>
      <c r="X210" s="38" t="s">
        <v>31</v>
      </c>
      <c r="Y210" s="38" t="s">
        <v>31</v>
      </c>
    </row>
    <row r="211" spans="1:25" hidden="1" x14ac:dyDescent="0.25">
      <c r="A211" s="37" t="s">
        <v>31</v>
      </c>
      <c r="B211" s="38" t="s">
        <v>31</v>
      </c>
      <c r="C211" s="38" t="s">
        <v>31</v>
      </c>
      <c r="D211" s="38" t="s">
        <v>31</v>
      </c>
      <c r="E211" s="38" t="s">
        <v>31</v>
      </c>
      <c r="F211" s="38" t="s">
        <v>31</v>
      </c>
      <c r="G211" s="23" t="s">
        <v>31</v>
      </c>
      <c r="H211" s="23" t="s">
        <v>31</v>
      </c>
      <c r="I211" s="23" t="s">
        <v>31</v>
      </c>
      <c r="J211" s="38" t="s">
        <v>31</v>
      </c>
      <c r="K211" s="23" t="s">
        <v>31</v>
      </c>
      <c r="L211" s="23" t="s">
        <v>31</v>
      </c>
      <c r="M211" s="23" t="s">
        <v>31</v>
      </c>
      <c r="N211" s="23" t="s">
        <v>31</v>
      </c>
      <c r="O211" s="23" t="s">
        <v>31</v>
      </c>
      <c r="P211" s="38" t="s">
        <v>31</v>
      </c>
      <c r="Q211" s="38" t="s">
        <v>31</v>
      </c>
      <c r="R211" s="38" t="s">
        <v>31</v>
      </c>
      <c r="S211" s="23" t="s">
        <v>31</v>
      </c>
      <c r="T211" s="23" t="s">
        <v>31</v>
      </c>
      <c r="U211" s="38" t="s">
        <v>31</v>
      </c>
      <c r="V211" s="23" t="s">
        <v>31</v>
      </c>
      <c r="W211" s="38" t="s">
        <v>31</v>
      </c>
      <c r="X211" s="38" t="s">
        <v>31</v>
      </c>
      <c r="Y211" s="38" t="s">
        <v>31</v>
      </c>
    </row>
    <row r="212" spans="1:25" hidden="1" x14ac:dyDescent="0.25">
      <c r="A212" s="37" t="s">
        <v>31</v>
      </c>
      <c r="B212" s="38" t="s">
        <v>31</v>
      </c>
      <c r="C212" s="38" t="s">
        <v>31</v>
      </c>
      <c r="D212" s="38" t="s">
        <v>31</v>
      </c>
      <c r="E212" s="38" t="s">
        <v>31</v>
      </c>
      <c r="F212" s="38" t="s">
        <v>31</v>
      </c>
      <c r="G212" s="23" t="s">
        <v>31</v>
      </c>
      <c r="H212" s="23" t="s">
        <v>31</v>
      </c>
      <c r="I212" s="23" t="s">
        <v>31</v>
      </c>
      <c r="J212" s="38" t="s">
        <v>31</v>
      </c>
      <c r="K212" s="23" t="s">
        <v>31</v>
      </c>
      <c r="L212" s="23" t="s">
        <v>31</v>
      </c>
      <c r="M212" s="23" t="s">
        <v>31</v>
      </c>
      <c r="N212" s="23" t="s">
        <v>31</v>
      </c>
      <c r="O212" s="23" t="s">
        <v>31</v>
      </c>
      <c r="P212" s="38" t="s">
        <v>31</v>
      </c>
      <c r="Q212" s="38" t="s">
        <v>31</v>
      </c>
      <c r="R212" s="38" t="s">
        <v>31</v>
      </c>
      <c r="S212" s="23" t="s">
        <v>31</v>
      </c>
      <c r="T212" s="23" t="s">
        <v>31</v>
      </c>
      <c r="U212" s="38" t="s">
        <v>31</v>
      </c>
      <c r="V212" s="23" t="s">
        <v>31</v>
      </c>
      <c r="W212" s="38" t="s">
        <v>31</v>
      </c>
      <c r="X212" s="38" t="s">
        <v>31</v>
      </c>
      <c r="Y212" s="38" t="s">
        <v>31</v>
      </c>
    </row>
    <row r="213" spans="1:25" hidden="1" x14ac:dyDescent="0.25">
      <c r="A213" s="37" t="s">
        <v>31</v>
      </c>
      <c r="B213" s="38" t="s">
        <v>31</v>
      </c>
      <c r="C213" s="38" t="s">
        <v>31</v>
      </c>
      <c r="D213" s="38" t="s">
        <v>31</v>
      </c>
      <c r="E213" s="38" t="s">
        <v>31</v>
      </c>
      <c r="F213" s="38" t="s">
        <v>31</v>
      </c>
      <c r="G213" s="23" t="s">
        <v>31</v>
      </c>
      <c r="H213" s="23" t="s">
        <v>31</v>
      </c>
      <c r="I213" s="23" t="s">
        <v>31</v>
      </c>
      <c r="J213" s="38" t="s">
        <v>31</v>
      </c>
      <c r="K213" s="23" t="s">
        <v>31</v>
      </c>
      <c r="L213" s="23" t="s">
        <v>31</v>
      </c>
      <c r="M213" s="23" t="s">
        <v>31</v>
      </c>
      <c r="N213" s="23" t="s">
        <v>31</v>
      </c>
      <c r="O213" s="23" t="s">
        <v>31</v>
      </c>
      <c r="P213" s="38" t="s">
        <v>31</v>
      </c>
      <c r="Q213" s="38" t="s">
        <v>31</v>
      </c>
      <c r="R213" s="38" t="s">
        <v>31</v>
      </c>
      <c r="S213" s="23" t="s">
        <v>31</v>
      </c>
      <c r="T213" s="23" t="s">
        <v>31</v>
      </c>
      <c r="U213" s="38" t="s">
        <v>31</v>
      </c>
      <c r="V213" s="23" t="s">
        <v>31</v>
      </c>
      <c r="W213" s="38" t="s">
        <v>31</v>
      </c>
      <c r="X213" s="38" t="s">
        <v>31</v>
      </c>
      <c r="Y213" s="38" t="s">
        <v>31</v>
      </c>
    </row>
    <row r="214" spans="1:25" hidden="1" x14ac:dyDescent="0.25">
      <c r="A214" s="37" t="s">
        <v>31</v>
      </c>
      <c r="B214" s="38" t="s">
        <v>31</v>
      </c>
      <c r="C214" s="38" t="s">
        <v>31</v>
      </c>
      <c r="D214" s="38" t="s">
        <v>31</v>
      </c>
      <c r="E214" s="38" t="s">
        <v>31</v>
      </c>
      <c r="F214" s="38" t="s">
        <v>31</v>
      </c>
      <c r="G214" s="23" t="s">
        <v>31</v>
      </c>
      <c r="H214" s="23" t="s">
        <v>31</v>
      </c>
      <c r="I214" s="23" t="s">
        <v>31</v>
      </c>
      <c r="J214" s="38" t="s">
        <v>31</v>
      </c>
      <c r="K214" s="23" t="s">
        <v>31</v>
      </c>
      <c r="L214" s="23" t="s">
        <v>31</v>
      </c>
      <c r="M214" s="23" t="s">
        <v>31</v>
      </c>
      <c r="N214" s="23" t="s">
        <v>31</v>
      </c>
      <c r="O214" s="23" t="s">
        <v>31</v>
      </c>
      <c r="P214" s="38" t="s">
        <v>31</v>
      </c>
      <c r="Q214" s="38" t="s">
        <v>31</v>
      </c>
      <c r="R214" s="38" t="s">
        <v>31</v>
      </c>
      <c r="S214" s="23" t="s">
        <v>31</v>
      </c>
      <c r="T214" s="23" t="s">
        <v>31</v>
      </c>
      <c r="U214" s="38" t="s">
        <v>31</v>
      </c>
      <c r="V214" s="23" t="s">
        <v>31</v>
      </c>
      <c r="W214" s="38" t="s">
        <v>31</v>
      </c>
      <c r="X214" s="38" t="s">
        <v>31</v>
      </c>
      <c r="Y214" s="38" t="s">
        <v>31</v>
      </c>
    </row>
    <row r="215" spans="1:25" hidden="1" x14ac:dyDescent="0.25">
      <c r="A215" s="37" t="s">
        <v>31</v>
      </c>
      <c r="B215" s="38" t="s">
        <v>31</v>
      </c>
      <c r="C215" s="38" t="s">
        <v>31</v>
      </c>
      <c r="D215" s="38" t="s">
        <v>31</v>
      </c>
      <c r="E215" s="38" t="s">
        <v>31</v>
      </c>
      <c r="F215" s="38" t="s">
        <v>31</v>
      </c>
      <c r="G215" s="23" t="s">
        <v>31</v>
      </c>
      <c r="H215" s="23" t="s">
        <v>31</v>
      </c>
      <c r="I215" s="23" t="s">
        <v>31</v>
      </c>
      <c r="J215" s="38" t="s">
        <v>31</v>
      </c>
      <c r="K215" s="23" t="s">
        <v>31</v>
      </c>
      <c r="L215" s="23" t="s">
        <v>31</v>
      </c>
      <c r="M215" s="23" t="s">
        <v>31</v>
      </c>
      <c r="N215" s="23" t="s">
        <v>31</v>
      </c>
      <c r="O215" s="23" t="s">
        <v>31</v>
      </c>
      <c r="P215" s="38" t="s">
        <v>31</v>
      </c>
      <c r="Q215" s="38" t="s">
        <v>31</v>
      </c>
      <c r="R215" s="38" t="s">
        <v>31</v>
      </c>
      <c r="S215" s="23" t="s">
        <v>31</v>
      </c>
      <c r="T215" s="23" t="s">
        <v>31</v>
      </c>
      <c r="U215" s="38" t="s">
        <v>31</v>
      </c>
      <c r="V215" s="23" t="s">
        <v>31</v>
      </c>
      <c r="W215" s="38" t="s">
        <v>31</v>
      </c>
      <c r="X215" s="38" t="s">
        <v>31</v>
      </c>
      <c r="Y215" s="38" t="s">
        <v>31</v>
      </c>
    </row>
    <row r="216" spans="1:25" hidden="1" x14ac:dyDescent="0.25">
      <c r="A216" s="37" t="s">
        <v>31</v>
      </c>
      <c r="B216" s="38" t="s">
        <v>31</v>
      </c>
      <c r="C216" s="38" t="s">
        <v>31</v>
      </c>
      <c r="D216" s="38" t="s">
        <v>31</v>
      </c>
      <c r="E216" s="38" t="s">
        <v>31</v>
      </c>
      <c r="F216" s="38" t="s">
        <v>31</v>
      </c>
      <c r="G216" s="23" t="s">
        <v>31</v>
      </c>
      <c r="H216" s="23" t="s">
        <v>31</v>
      </c>
      <c r="I216" s="23" t="s">
        <v>31</v>
      </c>
      <c r="J216" s="38" t="s">
        <v>31</v>
      </c>
      <c r="K216" s="23" t="s">
        <v>31</v>
      </c>
      <c r="L216" s="23" t="s">
        <v>31</v>
      </c>
      <c r="M216" s="23" t="s">
        <v>31</v>
      </c>
      <c r="N216" s="23" t="s">
        <v>31</v>
      </c>
      <c r="O216" s="23" t="s">
        <v>31</v>
      </c>
      <c r="P216" s="38" t="s">
        <v>31</v>
      </c>
      <c r="Q216" s="38" t="s">
        <v>31</v>
      </c>
      <c r="R216" s="38" t="s">
        <v>31</v>
      </c>
      <c r="S216" s="23" t="s">
        <v>31</v>
      </c>
      <c r="T216" s="23" t="s">
        <v>31</v>
      </c>
      <c r="U216" s="38" t="s">
        <v>31</v>
      </c>
      <c r="V216" s="23" t="s">
        <v>31</v>
      </c>
      <c r="W216" s="38" t="s">
        <v>31</v>
      </c>
      <c r="X216" s="38" t="s">
        <v>31</v>
      </c>
      <c r="Y216" s="38" t="s">
        <v>31</v>
      </c>
    </row>
    <row r="217" spans="1:25" hidden="1" x14ac:dyDescent="0.25">
      <c r="A217" s="37" t="s">
        <v>31</v>
      </c>
      <c r="B217" s="38" t="s">
        <v>31</v>
      </c>
      <c r="C217" s="38" t="s">
        <v>31</v>
      </c>
      <c r="D217" s="38" t="s">
        <v>31</v>
      </c>
      <c r="E217" s="38" t="s">
        <v>31</v>
      </c>
      <c r="F217" s="38" t="s">
        <v>31</v>
      </c>
      <c r="G217" s="23" t="s">
        <v>31</v>
      </c>
      <c r="H217" s="23" t="s">
        <v>31</v>
      </c>
      <c r="I217" s="23" t="s">
        <v>31</v>
      </c>
      <c r="J217" s="38" t="s">
        <v>31</v>
      </c>
      <c r="K217" s="23" t="s">
        <v>31</v>
      </c>
      <c r="L217" s="23" t="s">
        <v>31</v>
      </c>
      <c r="M217" s="23" t="s">
        <v>31</v>
      </c>
      <c r="N217" s="23" t="s">
        <v>31</v>
      </c>
      <c r="O217" s="23" t="s">
        <v>31</v>
      </c>
      <c r="P217" s="38" t="s">
        <v>31</v>
      </c>
      <c r="Q217" s="38" t="s">
        <v>31</v>
      </c>
      <c r="R217" s="38" t="s">
        <v>31</v>
      </c>
      <c r="S217" s="23" t="s">
        <v>31</v>
      </c>
      <c r="T217" s="23" t="s">
        <v>31</v>
      </c>
      <c r="U217" s="38" t="s">
        <v>31</v>
      </c>
      <c r="V217" s="23" t="s">
        <v>31</v>
      </c>
      <c r="W217" s="38" t="s">
        <v>31</v>
      </c>
      <c r="X217" s="38" t="s">
        <v>31</v>
      </c>
      <c r="Y217" s="38" t="s">
        <v>31</v>
      </c>
    </row>
    <row r="218" spans="1:25" hidden="1" x14ac:dyDescent="0.25">
      <c r="A218" s="37" t="s">
        <v>31</v>
      </c>
      <c r="B218" s="38" t="s">
        <v>31</v>
      </c>
      <c r="C218" s="38" t="s">
        <v>31</v>
      </c>
      <c r="D218" s="38" t="s">
        <v>31</v>
      </c>
      <c r="E218" s="38" t="s">
        <v>31</v>
      </c>
      <c r="F218" s="38" t="s">
        <v>31</v>
      </c>
      <c r="G218" s="23" t="s">
        <v>31</v>
      </c>
      <c r="H218" s="23" t="s">
        <v>31</v>
      </c>
      <c r="I218" s="23" t="s">
        <v>31</v>
      </c>
      <c r="J218" s="38" t="s">
        <v>31</v>
      </c>
      <c r="K218" s="23" t="s">
        <v>31</v>
      </c>
      <c r="L218" s="23" t="s">
        <v>31</v>
      </c>
      <c r="M218" s="23" t="s">
        <v>31</v>
      </c>
      <c r="N218" s="23" t="s">
        <v>31</v>
      </c>
      <c r="O218" s="23" t="s">
        <v>31</v>
      </c>
      <c r="P218" s="38" t="s">
        <v>31</v>
      </c>
      <c r="Q218" s="38" t="s">
        <v>31</v>
      </c>
      <c r="R218" s="38" t="s">
        <v>31</v>
      </c>
      <c r="S218" s="23" t="s">
        <v>31</v>
      </c>
      <c r="T218" s="23" t="s">
        <v>31</v>
      </c>
      <c r="U218" s="38" t="s">
        <v>31</v>
      </c>
      <c r="V218" s="23" t="s">
        <v>31</v>
      </c>
      <c r="W218" s="38" t="s">
        <v>31</v>
      </c>
      <c r="X218" s="38" t="s">
        <v>31</v>
      </c>
      <c r="Y218" s="38" t="s">
        <v>31</v>
      </c>
    </row>
    <row r="219" spans="1:25" hidden="1" x14ac:dyDescent="0.25">
      <c r="A219" s="37" t="s">
        <v>31</v>
      </c>
      <c r="B219" s="38" t="s">
        <v>31</v>
      </c>
      <c r="C219" s="38" t="s">
        <v>31</v>
      </c>
      <c r="D219" s="38" t="s">
        <v>31</v>
      </c>
      <c r="E219" s="38" t="s">
        <v>31</v>
      </c>
      <c r="F219" s="38" t="s">
        <v>31</v>
      </c>
      <c r="G219" s="23" t="s">
        <v>31</v>
      </c>
      <c r="H219" s="23" t="s">
        <v>31</v>
      </c>
      <c r="I219" s="23" t="s">
        <v>31</v>
      </c>
      <c r="J219" s="38" t="s">
        <v>31</v>
      </c>
      <c r="K219" s="23" t="s">
        <v>31</v>
      </c>
      <c r="L219" s="23" t="s">
        <v>31</v>
      </c>
      <c r="M219" s="23" t="s">
        <v>31</v>
      </c>
      <c r="N219" s="23" t="s">
        <v>31</v>
      </c>
      <c r="O219" s="23" t="s">
        <v>31</v>
      </c>
      <c r="P219" s="38" t="s">
        <v>31</v>
      </c>
      <c r="Q219" s="38" t="s">
        <v>31</v>
      </c>
      <c r="R219" s="38" t="s">
        <v>31</v>
      </c>
      <c r="S219" s="23" t="s">
        <v>31</v>
      </c>
      <c r="T219" s="23" t="s">
        <v>31</v>
      </c>
      <c r="U219" s="38" t="s">
        <v>31</v>
      </c>
      <c r="V219" s="23" t="s">
        <v>31</v>
      </c>
      <c r="W219" s="38" t="s">
        <v>31</v>
      </c>
      <c r="X219" s="38" t="s">
        <v>31</v>
      </c>
      <c r="Y219" s="38" t="s">
        <v>31</v>
      </c>
    </row>
    <row r="220" spans="1:25" hidden="1" x14ac:dyDescent="0.25">
      <c r="A220" s="37" t="s">
        <v>31</v>
      </c>
      <c r="B220" s="38" t="s">
        <v>31</v>
      </c>
      <c r="C220" s="38" t="s">
        <v>31</v>
      </c>
      <c r="D220" s="38" t="s">
        <v>31</v>
      </c>
      <c r="E220" s="38" t="s">
        <v>31</v>
      </c>
      <c r="F220" s="38" t="s">
        <v>31</v>
      </c>
      <c r="G220" s="23" t="s">
        <v>31</v>
      </c>
      <c r="H220" s="23" t="s">
        <v>31</v>
      </c>
      <c r="I220" s="23" t="s">
        <v>31</v>
      </c>
      <c r="J220" s="23" t="s">
        <v>31</v>
      </c>
      <c r="K220" s="23" t="s">
        <v>31</v>
      </c>
      <c r="L220" s="23" t="s">
        <v>31</v>
      </c>
      <c r="M220" s="23" t="s">
        <v>31</v>
      </c>
      <c r="N220" s="38" t="s">
        <v>31</v>
      </c>
      <c r="O220" s="38" t="s">
        <v>31</v>
      </c>
      <c r="P220" s="38" t="s">
        <v>31</v>
      </c>
      <c r="Q220" s="38" t="s">
        <v>31</v>
      </c>
      <c r="R220" s="38" t="s">
        <v>31</v>
      </c>
      <c r="S220" s="23" t="s">
        <v>31</v>
      </c>
      <c r="T220" s="38" t="s">
        <v>31</v>
      </c>
      <c r="U220" s="23" t="s">
        <v>31</v>
      </c>
      <c r="V220" s="38" t="s">
        <v>31</v>
      </c>
      <c r="W220" s="38" t="s">
        <v>31</v>
      </c>
      <c r="X220" s="38" t="s">
        <v>31</v>
      </c>
      <c r="Y220" s="38" t="s">
        <v>31</v>
      </c>
    </row>
    <row r="221" spans="1:25" hidden="1" x14ac:dyDescent="0.25">
      <c r="A221" s="37" t="s">
        <v>31</v>
      </c>
      <c r="B221" s="38" t="s">
        <v>31</v>
      </c>
      <c r="C221" s="38" t="s">
        <v>31</v>
      </c>
      <c r="D221" s="38" t="s">
        <v>31</v>
      </c>
      <c r="E221" s="38" t="s">
        <v>31</v>
      </c>
      <c r="F221" s="38" t="s">
        <v>31</v>
      </c>
      <c r="G221" s="23" t="s">
        <v>31</v>
      </c>
      <c r="H221" s="23" t="s">
        <v>31</v>
      </c>
      <c r="I221" s="23" t="s">
        <v>31</v>
      </c>
      <c r="J221" s="38" t="s">
        <v>31</v>
      </c>
      <c r="K221" s="23" t="s">
        <v>31</v>
      </c>
      <c r="L221" s="23" t="s">
        <v>31</v>
      </c>
      <c r="M221" s="23" t="s">
        <v>31</v>
      </c>
      <c r="N221" s="23" t="s">
        <v>31</v>
      </c>
      <c r="O221" s="23" t="s">
        <v>31</v>
      </c>
      <c r="P221" s="38" t="s">
        <v>31</v>
      </c>
      <c r="Q221" s="38" t="s">
        <v>31</v>
      </c>
      <c r="R221" s="38" t="s">
        <v>31</v>
      </c>
      <c r="S221" s="23" t="s">
        <v>31</v>
      </c>
      <c r="T221" s="23" t="s">
        <v>31</v>
      </c>
      <c r="U221" s="38" t="s">
        <v>31</v>
      </c>
      <c r="V221" s="23" t="s">
        <v>31</v>
      </c>
      <c r="W221" s="38" t="s">
        <v>31</v>
      </c>
      <c r="X221" s="38" t="s">
        <v>31</v>
      </c>
      <c r="Y221" s="38" t="s">
        <v>31</v>
      </c>
    </row>
    <row r="222" spans="1:25" hidden="1" x14ac:dyDescent="0.25">
      <c r="A222" s="37" t="s">
        <v>31</v>
      </c>
      <c r="B222" s="38" t="s">
        <v>31</v>
      </c>
      <c r="C222" s="38" t="s">
        <v>31</v>
      </c>
      <c r="D222" s="38" t="s">
        <v>31</v>
      </c>
      <c r="E222" s="38" t="s">
        <v>31</v>
      </c>
      <c r="F222" s="38" t="s">
        <v>31</v>
      </c>
      <c r="G222" s="23" t="s">
        <v>31</v>
      </c>
      <c r="H222" s="23" t="s">
        <v>31</v>
      </c>
      <c r="I222" s="23" t="s">
        <v>31</v>
      </c>
      <c r="J222" s="23" t="s">
        <v>31</v>
      </c>
      <c r="K222" s="23" t="s">
        <v>31</v>
      </c>
      <c r="L222" s="23" t="s">
        <v>31</v>
      </c>
      <c r="M222" s="43"/>
      <c r="N222" s="24" t="s">
        <v>31</v>
      </c>
      <c r="O222" s="23" t="s">
        <v>31</v>
      </c>
      <c r="P222" s="38" t="s">
        <v>31</v>
      </c>
      <c r="Q222" s="38" t="s">
        <v>31</v>
      </c>
      <c r="R222" s="38" t="s">
        <v>31</v>
      </c>
      <c r="S222" s="23" t="s">
        <v>31</v>
      </c>
      <c r="T222" s="23" t="s">
        <v>31</v>
      </c>
      <c r="U222" s="38" t="s">
        <v>31</v>
      </c>
      <c r="V222" s="23" t="s">
        <v>31</v>
      </c>
      <c r="W222" s="38" t="s">
        <v>31</v>
      </c>
      <c r="X222" s="38" t="s">
        <v>31</v>
      </c>
      <c r="Y222" s="38" t="s">
        <v>31</v>
      </c>
    </row>
    <row r="223" spans="1:25" hidden="1" x14ac:dyDescent="0.25">
      <c r="A223" s="37" t="s">
        <v>31</v>
      </c>
      <c r="B223" s="38" t="s">
        <v>31</v>
      </c>
      <c r="C223" s="38" t="s">
        <v>31</v>
      </c>
      <c r="D223" s="38" t="s">
        <v>31</v>
      </c>
      <c r="E223" s="38" t="s">
        <v>31</v>
      </c>
      <c r="F223" s="38" t="s">
        <v>31</v>
      </c>
      <c r="G223" s="23" t="s">
        <v>31</v>
      </c>
      <c r="H223" s="23" t="s">
        <v>31</v>
      </c>
      <c r="I223" s="23" t="s">
        <v>31</v>
      </c>
      <c r="J223" s="23" t="s">
        <v>31</v>
      </c>
      <c r="K223" s="23" t="s">
        <v>31</v>
      </c>
      <c r="L223" s="23" t="s">
        <v>31</v>
      </c>
      <c r="M223" s="43"/>
      <c r="N223" s="24" t="s">
        <v>31</v>
      </c>
      <c r="O223" s="23" t="s">
        <v>31</v>
      </c>
      <c r="P223" s="38" t="s">
        <v>31</v>
      </c>
      <c r="Q223" s="38" t="s">
        <v>31</v>
      </c>
      <c r="R223" s="38" t="s">
        <v>31</v>
      </c>
      <c r="S223" s="23" t="s">
        <v>31</v>
      </c>
      <c r="T223" s="23" t="s">
        <v>31</v>
      </c>
      <c r="U223" s="38" t="s">
        <v>31</v>
      </c>
      <c r="V223" s="23" t="s">
        <v>31</v>
      </c>
      <c r="W223" s="38" t="s">
        <v>31</v>
      </c>
      <c r="X223" s="38" t="s">
        <v>31</v>
      </c>
      <c r="Y223" s="38" t="s">
        <v>31</v>
      </c>
    </row>
    <row r="224" spans="1:25" hidden="1" x14ac:dyDescent="0.25">
      <c r="A224" s="37" t="s">
        <v>31</v>
      </c>
      <c r="B224" s="38" t="s">
        <v>31</v>
      </c>
      <c r="C224" s="38" t="s">
        <v>31</v>
      </c>
      <c r="D224" s="38" t="s">
        <v>31</v>
      </c>
      <c r="E224" s="38" t="s">
        <v>31</v>
      </c>
      <c r="F224" s="38" t="s">
        <v>31</v>
      </c>
      <c r="G224" s="23" t="s">
        <v>31</v>
      </c>
      <c r="H224" s="23" t="s">
        <v>31</v>
      </c>
      <c r="I224" s="23" t="s">
        <v>31</v>
      </c>
      <c r="J224" s="23" t="s">
        <v>31</v>
      </c>
      <c r="K224" s="23" t="s">
        <v>31</v>
      </c>
      <c r="L224" s="23" t="s">
        <v>31</v>
      </c>
      <c r="M224" s="43"/>
      <c r="N224" s="24" t="s">
        <v>31</v>
      </c>
      <c r="O224" s="23" t="s">
        <v>31</v>
      </c>
      <c r="P224" s="38" t="s">
        <v>31</v>
      </c>
      <c r="Q224" s="38" t="s">
        <v>31</v>
      </c>
      <c r="R224" s="38" t="s">
        <v>31</v>
      </c>
      <c r="S224" s="23" t="s">
        <v>31</v>
      </c>
      <c r="T224" s="23" t="s">
        <v>31</v>
      </c>
      <c r="U224" s="38" t="s">
        <v>31</v>
      </c>
      <c r="V224" s="23" t="s">
        <v>31</v>
      </c>
      <c r="W224" s="38" t="s">
        <v>31</v>
      </c>
      <c r="X224" s="38" t="s">
        <v>31</v>
      </c>
      <c r="Y224" s="38" t="s">
        <v>31</v>
      </c>
    </row>
    <row r="225" spans="1:25" hidden="1" x14ac:dyDescent="0.25">
      <c r="A225" s="37" t="s">
        <v>31</v>
      </c>
      <c r="B225" s="38" t="s">
        <v>31</v>
      </c>
      <c r="C225" s="38" t="s">
        <v>31</v>
      </c>
      <c r="D225" s="38" t="s">
        <v>31</v>
      </c>
      <c r="E225" s="38" t="s">
        <v>31</v>
      </c>
      <c r="F225" s="38" t="s">
        <v>31</v>
      </c>
      <c r="G225" s="23" t="s">
        <v>31</v>
      </c>
      <c r="H225" s="23" t="s">
        <v>31</v>
      </c>
      <c r="I225" s="23" t="s">
        <v>31</v>
      </c>
      <c r="J225" s="23" t="s">
        <v>31</v>
      </c>
      <c r="K225" s="23" t="s">
        <v>31</v>
      </c>
      <c r="L225" s="23" t="s">
        <v>31</v>
      </c>
      <c r="M225" s="43"/>
      <c r="N225" s="24" t="s">
        <v>31</v>
      </c>
      <c r="O225" s="23" t="s">
        <v>31</v>
      </c>
      <c r="P225" s="38" t="s">
        <v>31</v>
      </c>
      <c r="Q225" s="38" t="s">
        <v>31</v>
      </c>
      <c r="R225" s="38" t="s">
        <v>31</v>
      </c>
      <c r="S225" s="23" t="s">
        <v>31</v>
      </c>
      <c r="T225" s="23" t="s">
        <v>31</v>
      </c>
      <c r="U225" s="38" t="s">
        <v>31</v>
      </c>
      <c r="V225" s="23" t="s">
        <v>31</v>
      </c>
      <c r="W225" s="38" t="s">
        <v>31</v>
      </c>
      <c r="X225" s="38" t="s">
        <v>31</v>
      </c>
      <c r="Y225" s="38" t="s">
        <v>31</v>
      </c>
    </row>
    <row r="226" spans="1:25" hidden="1" x14ac:dyDescent="0.25">
      <c r="A226" s="37" t="s">
        <v>31</v>
      </c>
      <c r="B226" s="38" t="s">
        <v>31</v>
      </c>
      <c r="C226" s="38" t="s">
        <v>31</v>
      </c>
      <c r="D226" s="38" t="s">
        <v>31</v>
      </c>
      <c r="E226" s="44"/>
      <c r="F226" s="37" t="s">
        <v>31</v>
      </c>
      <c r="G226" s="23" t="s">
        <v>31</v>
      </c>
      <c r="H226" s="23" t="s">
        <v>31</v>
      </c>
      <c r="I226" s="43"/>
      <c r="J226" s="44"/>
      <c r="K226" s="24" t="s">
        <v>31</v>
      </c>
      <c r="L226" s="23" t="s">
        <v>31</v>
      </c>
      <c r="M226" s="43"/>
      <c r="N226" s="37" t="s">
        <v>31</v>
      </c>
      <c r="O226" s="38" t="s">
        <v>31</v>
      </c>
      <c r="P226" s="38" t="s">
        <v>31</v>
      </c>
      <c r="Q226" s="38" t="s">
        <v>31</v>
      </c>
      <c r="R226" s="38" t="s">
        <v>31</v>
      </c>
      <c r="S226" s="23" t="s">
        <v>31</v>
      </c>
      <c r="T226" s="23" t="s">
        <v>31</v>
      </c>
      <c r="U226" s="38" t="s">
        <v>31</v>
      </c>
      <c r="V226" s="23" t="s">
        <v>31</v>
      </c>
      <c r="W226" s="23" t="s">
        <v>31</v>
      </c>
      <c r="X226" s="23" t="s">
        <v>31</v>
      </c>
      <c r="Y226" s="38" t="s">
        <v>31</v>
      </c>
    </row>
    <row r="227" spans="1:25" hidden="1" x14ac:dyDescent="0.25">
      <c r="A227" s="37" t="s">
        <v>31</v>
      </c>
      <c r="B227" s="38" t="s">
        <v>31</v>
      </c>
      <c r="C227" s="38" t="s">
        <v>31</v>
      </c>
      <c r="D227" s="38" t="s">
        <v>31</v>
      </c>
      <c r="E227" s="44"/>
      <c r="F227" s="37" t="s">
        <v>31</v>
      </c>
      <c r="G227" s="23" t="s">
        <v>31</v>
      </c>
      <c r="H227" s="23" t="s">
        <v>31</v>
      </c>
      <c r="I227" s="43"/>
      <c r="J227" s="44"/>
      <c r="K227" s="24" t="s">
        <v>31</v>
      </c>
      <c r="L227" s="23" t="s">
        <v>31</v>
      </c>
      <c r="M227" s="43"/>
      <c r="N227" s="24" t="s">
        <v>31</v>
      </c>
      <c r="O227" s="30" t="s">
        <v>31</v>
      </c>
      <c r="P227" s="213" t="s">
        <v>31</v>
      </c>
      <c r="Q227" s="213" t="s">
        <v>31</v>
      </c>
      <c r="R227" s="37" t="s">
        <v>31</v>
      </c>
      <c r="S227" s="23" t="s">
        <v>31</v>
      </c>
      <c r="T227" s="23" t="s">
        <v>31</v>
      </c>
      <c r="U227" s="38" t="s">
        <v>31</v>
      </c>
      <c r="V227" s="23" t="s">
        <v>31</v>
      </c>
      <c r="W227" s="23" t="s">
        <v>31</v>
      </c>
      <c r="X227" s="23" t="s">
        <v>31</v>
      </c>
      <c r="Y227" s="38" t="s">
        <v>31</v>
      </c>
    </row>
    <row r="228" spans="1:25" hidden="1" x14ac:dyDescent="0.25">
      <c r="A228" s="37" t="s">
        <v>31</v>
      </c>
      <c r="B228" s="38" t="s">
        <v>31</v>
      </c>
      <c r="C228" s="38" t="s">
        <v>31</v>
      </c>
      <c r="D228" s="38" t="s">
        <v>31</v>
      </c>
      <c r="E228" s="44"/>
      <c r="F228" s="37" t="s">
        <v>31</v>
      </c>
      <c r="G228" s="23" t="s">
        <v>31</v>
      </c>
      <c r="H228" s="23" t="s">
        <v>31</v>
      </c>
      <c r="I228" s="43"/>
      <c r="J228" s="44"/>
      <c r="K228" s="24" t="s">
        <v>31</v>
      </c>
      <c r="L228" s="23" t="s">
        <v>31</v>
      </c>
      <c r="M228" s="43"/>
      <c r="N228" s="24" t="s">
        <v>31</v>
      </c>
      <c r="O228" s="30" t="s">
        <v>31</v>
      </c>
      <c r="P228" s="45" t="s">
        <v>31</v>
      </c>
      <c r="Q228" s="45" t="s">
        <v>31</v>
      </c>
      <c r="R228" s="37" t="s">
        <v>31</v>
      </c>
      <c r="S228" s="23" t="s">
        <v>31</v>
      </c>
      <c r="T228" s="23" t="s">
        <v>31</v>
      </c>
      <c r="U228" s="38" t="s">
        <v>31</v>
      </c>
      <c r="V228" s="23" t="s">
        <v>31</v>
      </c>
      <c r="W228" s="23" t="s">
        <v>31</v>
      </c>
      <c r="X228" s="23" t="s">
        <v>31</v>
      </c>
      <c r="Y228" s="38" t="s">
        <v>31</v>
      </c>
    </row>
    <row r="229" spans="1:25" hidden="1" x14ac:dyDescent="0.25">
      <c r="A229" s="37" t="s">
        <v>31</v>
      </c>
      <c r="B229" s="38" t="s">
        <v>31</v>
      </c>
      <c r="C229" s="38" t="s">
        <v>31</v>
      </c>
      <c r="D229" s="38" t="s">
        <v>31</v>
      </c>
      <c r="E229" s="44"/>
      <c r="F229" s="37" t="s">
        <v>31</v>
      </c>
      <c r="G229" s="23" t="s">
        <v>31</v>
      </c>
      <c r="H229" s="23" t="s">
        <v>31</v>
      </c>
      <c r="I229" s="43"/>
      <c r="J229" s="44"/>
      <c r="K229" s="24" t="s">
        <v>31</v>
      </c>
      <c r="L229" s="23" t="s">
        <v>31</v>
      </c>
      <c r="M229" s="43"/>
      <c r="N229" s="24" t="s">
        <v>31</v>
      </c>
      <c r="O229" s="30" t="s">
        <v>31</v>
      </c>
      <c r="P229" s="45" t="s">
        <v>31</v>
      </c>
      <c r="Q229" s="45" t="s">
        <v>31</v>
      </c>
      <c r="R229" s="37" t="s">
        <v>31</v>
      </c>
      <c r="S229" s="23" t="s">
        <v>31</v>
      </c>
      <c r="T229" s="23" t="s">
        <v>31</v>
      </c>
      <c r="U229" s="38" t="s">
        <v>31</v>
      </c>
      <c r="V229" s="23" t="s">
        <v>31</v>
      </c>
      <c r="W229" s="23" t="s">
        <v>31</v>
      </c>
      <c r="X229" s="23" t="s">
        <v>31</v>
      </c>
      <c r="Y229" s="38" t="s">
        <v>31</v>
      </c>
    </row>
    <row r="230" spans="1:25" hidden="1" x14ac:dyDescent="0.25">
      <c r="A230" s="37" t="s">
        <v>31</v>
      </c>
      <c r="B230" s="38" t="s">
        <v>31</v>
      </c>
      <c r="C230" s="38" t="s">
        <v>31</v>
      </c>
      <c r="D230" s="38" t="s">
        <v>31</v>
      </c>
      <c r="E230" s="44"/>
      <c r="F230" s="37" t="s">
        <v>31</v>
      </c>
      <c r="G230" s="23" t="s">
        <v>31</v>
      </c>
      <c r="H230" s="23" t="s">
        <v>31</v>
      </c>
      <c r="I230" s="43"/>
      <c r="J230" s="44"/>
      <c r="K230" s="24" t="s">
        <v>31</v>
      </c>
      <c r="L230" s="23" t="s">
        <v>31</v>
      </c>
      <c r="M230" s="43"/>
      <c r="N230" s="24" t="s">
        <v>31</v>
      </c>
      <c r="O230" s="30" t="s">
        <v>31</v>
      </c>
      <c r="P230" s="45" t="s">
        <v>31</v>
      </c>
      <c r="Q230" s="45" t="s">
        <v>31</v>
      </c>
      <c r="R230" s="37" t="s">
        <v>31</v>
      </c>
      <c r="S230" s="23" t="s">
        <v>31</v>
      </c>
      <c r="T230" s="23" t="s">
        <v>31</v>
      </c>
      <c r="U230" s="38" t="s">
        <v>31</v>
      </c>
      <c r="V230" s="23" t="s">
        <v>31</v>
      </c>
      <c r="W230" s="23" t="s">
        <v>31</v>
      </c>
      <c r="X230" s="23" t="s">
        <v>31</v>
      </c>
      <c r="Y230" s="38" t="s">
        <v>31</v>
      </c>
    </row>
    <row r="231" spans="1:25" hidden="1" x14ac:dyDescent="0.25">
      <c r="A231" s="37" t="s">
        <v>31</v>
      </c>
      <c r="B231" s="38" t="s">
        <v>31</v>
      </c>
      <c r="C231" s="38" t="s">
        <v>31</v>
      </c>
      <c r="D231" s="38" t="s">
        <v>31</v>
      </c>
      <c r="E231" s="44"/>
      <c r="F231" s="37" t="s">
        <v>31</v>
      </c>
      <c r="G231" s="23" t="s">
        <v>31</v>
      </c>
      <c r="H231" s="23" t="s">
        <v>31</v>
      </c>
      <c r="I231" s="43"/>
      <c r="J231" s="44"/>
      <c r="K231" s="24" t="s">
        <v>31</v>
      </c>
      <c r="L231" s="23" t="s">
        <v>31</v>
      </c>
      <c r="M231" s="43"/>
      <c r="N231" s="24" t="s">
        <v>31</v>
      </c>
      <c r="O231" s="30" t="s">
        <v>31</v>
      </c>
      <c r="P231" s="45" t="s">
        <v>31</v>
      </c>
      <c r="Q231" s="45" t="s">
        <v>31</v>
      </c>
      <c r="R231" s="37" t="s">
        <v>31</v>
      </c>
      <c r="S231" s="23" t="s">
        <v>31</v>
      </c>
      <c r="T231" s="23" t="s">
        <v>31</v>
      </c>
      <c r="U231" s="38" t="s">
        <v>31</v>
      </c>
      <c r="V231" s="23" t="s">
        <v>31</v>
      </c>
      <c r="W231" s="23" t="s">
        <v>31</v>
      </c>
      <c r="X231" s="23" t="s">
        <v>31</v>
      </c>
      <c r="Y231" s="38" t="s">
        <v>31</v>
      </c>
    </row>
    <row r="232" spans="1:25" hidden="1" x14ac:dyDescent="0.25">
      <c r="A232" s="37" t="s">
        <v>31</v>
      </c>
      <c r="B232" s="38" t="s">
        <v>31</v>
      </c>
      <c r="C232" s="38" t="s">
        <v>31</v>
      </c>
      <c r="D232" s="38" t="s">
        <v>31</v>
      </c>
      <c r="E232" s="44"/>
      <c r="F232" s="37" t="s">
        <v>31</v>
      </c>
      <c r="G232" s="23" t="s">
        <v>31</v>
      </c>
      <c r="H232" s="23" t="s">
        <v>31</v>
      </c>
      <c r="I232" s="43"/>
      <c r="J232" s="44"/>
      <c r="K232" s="24" t="s">
        <v>31</v>
      </c>
      <c r="L232" s="23" t="s">
        <v>31</v>
      </c>
      <c r="M232" s="43"/>
      <c r="N232" s="24" t="s">
        <v>31</v>
      </c>
      <c r="O232" s="30" t="s">
        <v>31</v>
      </c>
      <c r="P232" s="45" t="s">
        <v>31</v>
      </c>
      <c r="Q232" s="45" t="s">
        <v>31</v>
      </c>
      <c r="R232" s="37" t="s">
        <v>31</v>
      </c>
      <c r="S232" s="23" t="s">
        <v>31</v>
      </c>
      <c r="T232" s="23" t="s">
        <v>31</v>
      </c>
      <c r="U232" s="38" t="s">
        <v>31</v>
      </c>
      <c r="V232" s="23" t="s">
        <v>31</v>
      </c>
      <c r="W232" s="23" t="s">
        <v>31</v>
      </c>
      <c r="X232" s="23" t="s">
        <v>31</v>
      </c>
      <c r="Y232" s="38" t="s">
        <v>31</v>
      </c>
    </row>
    <row r="233" spans="1:25" hidden="1" x14ac:dyDescent="0.25">
      <c r="A233" s="37" t="s">
        <v>31</v>
      </c>
      <c r="B233" s="38" t="s">
        <v>31</v>
      </c>
      <c r="C233" s="38" t="s">
        <v>31</v>
      </c>
      <c r="D233" s="38" t="s">
        <v>31</v>
      </c>
      <c r="E233" s="44"/>
      <c r="F233" s="37" t="s">
        <v>31</v>
      </c>
      <c r="G233" s="23" t="s">
        <v>31</v>
      </c>
      <c r="H233" s="23" t="s">
        <v>31</v>
      </c>
      <c r="I233" s="43"/>
      <c r="J233" s="44"/>
      <c r="K233" s="24" t="s">
        <v>31</v>
      </c>
      <c r="L233" s="23" t="s">
        <v>31</v>
      </c>
      <c r="M233" s="43"/>
      <c r="N233" s="24" t="s">
        <v>31</v>
      </c>
      <c r="O233" s="30" t="s">
        <v>31</v>
      </c>
      <c r="P233" s="45" t="s">
        <v>31</v>
      </c>
      <c r="Q233" s="45" t="s">
        <v>31</v>
      </c>
      <c r="R233" s="37" t="s">
        <v>31</v>
      </c>
      <c r="S233" s="23" t="s">
        <v>31</v>
      </c>
      <c r="T233" s="23" t="s">
        <v>31</v>
      </c>
      <c r="U233" s="38" t="s">
        <v>31</v>
      </c>
      <c r="V233" s="23" t="s">
        <v>31</v>
      </c>
      <c r="W233" s="23" t="s">
        <v>31</v>
      </c>
      <c r="X233" s="23" t="s">
        <v>31</v>
      </c>
      <c r="Y233" s="38" t="s">
        <v>31</v>
      </c>
    </row>
    <row r="234" spans="1:25" hidden="1" x14ac:dyDescent="0.25">
      <c r="A234" s="37" t="s">
        <v>31</v>
      </c>
      <c r="B234" s="38" t="s">
        <v>31</v>
      </c>
      <c r="C234" s="38" t="s">
        <v>31</v>
      </c>
      <c r="D234" s="38" t="s">
        <v>31</v>
      </c>
      <c r="E234" s="44"/>
      <c r="F234" s="37" t="s">
        <v>31</v>
      </c>
      <c r="G234" s="23" t="s">
        <v>31</v>
      </c>
      <c r="H234" s="23" t="s">
        <v>31</v>
      </c>
      <c r="I234" s="43"/>
      <c r="J234" s="44"/>
      <c r="K234" s="24" t="s">
        <v>31</v>
      </c>
      <c r="L234" s="23" t="s">
        <v>31</v>
      </c>
      <c r="M234" s="43"/>
      <c r="N234" s="24" t="s">
        <v>31</v>
      </c>
      <c r="O234" s="30" t="s">
        <v>31</v>
      </c>
      <c r="P234" s="45" t="s">
        <v>31</v>
      </c>
      <c r="Q234" s="45" t="s">
        <v>31</v>
      </c>
      <c r="R234" s="37" t="s">
        <v>31</v>
      </c>
      <c r="S234" s="23" t="s">
        <v>31</v>
      </c>
      <c r="T234" s="23" t="s">
        <v>31</v>
      </c>
      <c r="U234" s="38" t="s">
        <v>31</v>
      </c>
      <c r="V234" s="23" t="s">
        <v>31</v>
      </c>
      <c r="W234" s="23" t="s">
        <v>31</v>
      </c>
      <c r="X234" s="23" t="s">
        <v>31</v>
      </c>
      <c r="Y234" s="38" t="s">
        <v>31</v>
      </c>
    </row>
    <row r="235" spans="1:25" hidden="1" x14ac:dyDescent="0.25">
      <c r="A235" s="37" t="s">
        <v>31</v>
      </c>
      <c r="B235" s="38" t="s">
        <v>31</v>
      </c>
      <c r="C235" s="38" t="s">
        <v>31</v>
      </c>
      <c r="D235" s="38" t="s">
        <v>31</v>
      </c>
      <c r="E235" s="44"/>
      <c r="F235" s="37" t="s">
        <v>31</v>
      </c>
      <c r="G235" s="23" t="s">
        <v>31</v>
      </c>
      <c r="H235" s="23" t="s">
        <v>31</v>
      </c>
      <c r="I235" s="43"/>
      <c r="J235" s="44"/>
      <c r="K235" s="24" t="s">
        <v>31</v>
      </c>
      <c r="L235" s="23" t="s">
        <v>31</v>
      </c>
      <c r="M235" s="43"/>
      <c r="N235" s="24" t="s">
        <v>31</v>
      </c>
      <c r="O235" s="30" t="s">
        <v>31</v>
      </c>
      <c r="P235" s="45" t="s">
        <v>31</v>
      </c>
      <c r="Q235" s="45" t="s">
        <v>31</v>
      </c>
      <c r="R235" s="37" t="s">
        <v>31</v>
      </c>
      <c r="S235" s="23" t="s">
        <v>31</v>
      </c>
      <c r="T235" s="23" t="s">
        <v>31</v>
      </c>
      <c r="U235" s="38" t="s">
        <v>31</v>
      </c>
      <c r="V235" s="23" t="s">
        <v>31</v>
      </c>
      <c r="W235" s="23" t="s">
        <v>31</v>
      </c>
      <c r="X235" s="23" t="s">
        <v>31</v>
      </c>
      <c r="Y235" s="38" t="s">
        <v>31</v>
      </c>
    </row>
    <row r="236" spans="1:25" hidden="1" x14ac:dyDescent="0.25">
      <c r="A236" s="37" t="s">
        <v>31</v>
      </c>
      <c r="B236" s="38" t="s">
        <v>31</v>
      </c>
      <c r="C236" s="38" t="s">
        <v>31</v>
      </c>
      <c r="D236" s="38" t="s">
        <v>31</v>
      </c>
      <c r="E236" s="44"/>
      <c r="F236" s="37" t="s">
        <v>31</v>
      </c>
      <c r="G236" s="23" t="s">
        <v>31</v>
      </c>
      <c r="H236" s="23" t="s">
        <v>31</v>
      </c>
      <c r="I236" s="43"/>
      <c r="J236" s="44"/>
      <c r="K236" s="24" t="s">
        <v>31</v>
      </c>
      <c r="L236" s="23" t="s">
        <v>31</v>
      </c>
      <c r="M236" s="43"/>
      <c r="N236" s="24" t="s">
        <v>31</v>
      </c>
      <c r="O236" s="30" t="s">
        <v>31</v>
      </c>
      <c r="P236" s="45" t="s">
        <v>31</v>
      </c>
      <c r="Q236" s="45" t="s">
        <v>31</v>
      </c>
      <c r="R236" s="37" t="s">
        <v>31</v>
      </c>
      <c r="S236" s="23" t="s">
        <v>31</v>
      </c>
      <c r="T236" s="23" t="s">
        <v>31</v>
      </c>
      <c r="U236" s="38" t="s">
        <v>31</v>
      </c>
      <c r="V236" s="23" t="s">
        <v>31</v>
      </c>
      <c r="W236" s="23" t="s">
        <v>31</v>
      </c>
      <c r="X236" s="23" t="s">
        <v>31</v>
      </c>
      <c r="Y236" s="38" t="s">
        <v>31</v>
      </c>
    </row>
    <row r="237" spans="1:25" hidden="1" x14ac:dyDescent="0.25">
      <c r="A237" s="37" t="s">
        <v>31</v>
      </c>
      <c r="B237" s="38" t="s">
        <v>31</v>
      </c>
      <c r="C237" s="38" t="s">
        <v>31</v>
      </c>
      <c r="D237" s="38" t="s">
        <v>31</v>
      </c>
      <c r="E237" s="44"/>
      <c r="F237" s="37" t="s">
        <v>31</v>
      </c>
      <c r="G237" s="23" t="s">
        <v>31</v>
      </c>
      <c r="H237" s="23" t="s">
        <v>31</v>
      </c>
      <c r="I237" s="43"/>
      <c r="J237" s="44"/>
      <c r="K237" s="24" t="s">
        <v>31</v>
      </c>
      <c r="L237" s="23" t="s">
        <v>31</v>
      </c>
      <c r="M237" s="43"/>
      <c r="N237" s="24" t="s">
        <v>31</v>
      </c>
      <c r="O237" s="30" t="s">
        <v>31</v>
      </c>
      <c r="P237" s="45" t="s">
        <v>31</v>
      </c>
      <c r="Q237" s="45" t="s">
        <v>31</v>
      </c>
      <c r="R237" s="37" t="s">
        <v>31</v>
      </c>
      <c r="S237" s="23" t="s">
        <v>31</v>
      </c>
      <c r="T237" s="23" t="s">
        <v>31</v>
      </c>
      <c r="U237" s="38" t="s">
        <v>31</v>
      </c>
      <c r="V237" s="23" t="s">
        <v>31</v>
      </c>
      <c r="W237" s="23" t="s">
        <v>31</v>
      </c>
      <c r="X237" s="23" t="s">
        <v>31</v>
      </c>
      <c r="Y237" s="38" t="s">
        <v>31</v>
      </c>
    </row>
    <row r="238" spans="1:25" hidden="1" x14ac:dyDescent="0.25">
      <c r="A238" s="37" t="s">
        <v>31</v>
      </c>
      <c r="B238" s="38" t="s">
        <v>31</v>
      </c>
      <c r="C238" s="38" t="s">
        <v>31</v>
      </c>
      <c r="D238" s="38" t="s">
        <v>31</v>
      </c>
      <c r="E238" s="44"/>
      <c r="F238" s="37" t="s">
        <v>31</v>
      </c>
      <c r="G238" s="23" t="s">
        <v>31</v>
      </c>
      <c r="H238" s="23" t="s">
        <v>31</v>
      </c>
      <c r="I238" s="43"/>
      <c r="J238" s="44"/>
      <c r="K238" s="24" t="s">
        <v>31</v>
      </c>
      <c r="L238" s="23" t="s">
        <v>31</v>
      </c>
      <c r="M238" s="43"/>
      <c r="N238" s="24" t="s">
        <v>31</v>
      </c>
      <c r="O238" s="30" t="s">
        <v>31</v>
      </c>
      <c r="P238" s="45" t="s">
        <v>31</v>
      </c>
      <c r="Q238" s="45" t="s">
        <v>31</v>
      </c>
      <c r="R238" s="37" t="s">
        <v>31</v>
      </c>
      <c r="S238" s="23" t="s">
        <v>31</v>
      </c>
      <c r="T238" s="23" t="s">
        <v>31</v>
      </c>
      <c r="U238" s="38" t="s">
        <v>31</v>
      </c>
      <c r="V238" s="23" t="s">
        <v>31</v>
      </c>
      <c r="W238" s="23" t="s">
        <v>31</v>
      </c>
      <c r="X238" s="23" t="s">
        <v>31</v>
      </c>
      <c r="Y238" s="38" t="s">
        <v>31</v>
      </c>
    </row>
    <row r="239" spans="1:25" hidden="1" x14ac:dyDescent="0.25">
      <c r="A239" s="37" t="s">
        <v>31</v>
      </c>
      <c r="B239" s="38" t="s">
        <v>31</v>
      </c>
      <c r="C239" s="38" t="s">
        <v>31</v>
      </c>
      <c r="D239" s="38" t="s">
        <v>31</v>
      </c>
      <c r="E239" s="44"/>
      <c r="F239" s="37" t="s">
        <v>31</v>
      </c>
      <c r="G239" s="23" t="s">
        <v>31</v>
      </c>
      <c r="H239" s="23" t="s">
        <v>31</v>
      </c>
      <c r="I239" s="43"/>
      <c r="J239" s="44"/>
      <c r="K239" s="24" t="s">
        <v>31</v>
      </c>
      <c r="L239" s="23" t="s">
        <v>31</v>
      </c>
      <c r="M239" s="43"/>
      <c r="N239" s="24" t="s">
        <v>31</v>
      </c>
      <c r="O239" s="30" t="s">
        <v>31</v>
      </c>
      <c r="P239" s="45" t="s">
        <v>31</v>
      </c>
      <c r="Q239" s="45" t="s">
        <v>31</v>
      </c>
      <c r="R239" s="37" t="s">
        <v>31</v>
      </c>
      <c r="S239" s="23" t="s">
        <v>31</v>
      </c>
      <c r="T239" s="23" t="s">
        <v>31</v>
      </c>
      <c r="U239" s="38" t="s">
        <v>31</v>
      </c>
      <c r="V239" s="23" t="s">
        <v>31</v>
      </c>
      <c r="W239" s="23" t="s">
        <v>31</v>
      </c>
      <c r="X239" s="23" t="s">
        <v>31</v>
      </c>
      <c r="Y239" s="38" t="s">
        <v>31</v>
      </c>
    </row>
    <row r="240" spans="1:25" hidden="1" x14ac:dyDescent="0.25">
      <c r="A240" s="37" t="s">
        <v>31</v>
      </c>
      <c r="B240" s="38" t="s">
        <v>31</v>
      </c>
      <c r="C240" s="38" t="s">
        <v>31</v>
      </c>
      <c r="D240" s="38" t="s">
        <v>31</v>
      </c>
      <c r="E240" s="44"/>
      <c r="F240" s="37" t="s">
        <v>31</v>
      </c>
      <c r="G240" s="23" t="s">
        <v>31</v>
      </c>
      <c r="H240" s="23" t="s">
        <v>31</v>
      </c>
      <c r="I240" s="43"/>
      <c r="J240" s="44"/>
      <c r="K240" s="24" t="s">
        <v>31</v>
      </c>
      <c r="L240" s="23" t="s">
        <v>31</v>
      </c>
      <c r="M240" s="43"/>
      <c r="N240" s="24" t="s">
        <v>31</v>
      </c>
      <c r="O240" s="30" t="s">
        <v>31</v>
      </c>
      <c r="P240" s="45" t="s">
        <v>31</v>
      </c>
      <c r="Q240" s="45" t="s">
        <v>31</v>
      </c>
      <c r="R240" s="37" t="s">
        <v>31</v>
      </c>
      <c r="S240" s="23" t="s">
        <v>31</v>
      </c>
      <c r="T240" s="23" t="s">
        <v>31</v>
      </c>
      <c r="U240" s="38" t="s">
        <v>31</v>
      </c>
      <c r="V240" s="23" t="s">
        <v>31</v>
      </c>
      <c r="W240" s="23" t="s">
        <v>31</v>
      </c>
      <c r="X240" s="23" t="s">
        <v>31</v>
      </c>
      <c r="Y240" s="38" t="s">
        <v>31</v>
      </c>
    </row>
    <row r="241" spans="1:25" hidden="1" x14ac:dyDescent="0.25">
      <c r="A241" s="37" t="s">
        <v>31</v>
      </c>
      <c r="B241" s="38" t="s">
        <v>31</v>
      </c>
      <c r="C241" s="38" t="s">
        <v>31</v>
      </c>
      <c r="D241" s="38" t="s">
        <v>31</v>
      </c>
      <c r="E241" s="44"/>
      <c r="F241" s="37" t="s">
        <v>31</v>
      </c>
      <c r="G241" s="23" t="s">
        <v>31</v>
      </c>
      <c r="H241" s="23" t="s">
        <v>31</v>
      </c>
      <c r="I241" s="43"/>
      <c r="J241" s="44"/>
      <c r="K241" s="24" t="s">
        <v>31</v>
      </c>
      <c r="L241" s="23" t="s">
        <v>31</v>
      </c>
      <c r="M241" s="43"/>
      <c r="N241" s="24" t="s">
        <v>31</v>
      </c>
      <c r="O241" s="30" t="s">
        <v>31</v>
      </c>
      <c r="P241" s="45" t="s">
        <v>31</v>
      </c>
      <c r="Q241" s="45" t="s">
        <v>31</v>
      </c>
      <c r="R241" s="37" t="s">
        <v>31</v>
      </c>
      <c r="S241" s="23" t="s">
        <v>31</v>
      </c>
      <c r="T241" s="23" t="s">
        <v>31</v>
      </c>
      <c r="U241" s="38" t="s">
        <v>31</v>
      </c>
      <c r="V241" s="23" t="s">
        <v>31</v>
      </c>
      <c r="W241" s="23" t="s">
        <v>31</v>
      </c>
      <c r="X241" s="23" t="s">
        <v>31</v>
      </c>
      <c r="Y241" s="38" t="s">
        <v>31</v>
      </c>
    </row>
    <row r="242" spans="1:25" hidden="1" x14ac:dyDescent="0.25">
      <c r="A242" s="44"/>
      <c r="B242" s="37" t="s">
        <v>31</v>
      </c>
      <c r="C242" s="44"/>
      <c r="D242" s="37" t="s">
        <v>31</v>
      </c>
      <c r="E242" s="44"/>
      <c r="F242" s="37" t="s">
        <v>31</v>
      </c>
      <c r="G242" s="23" t="s">
        <v>31</v>
      </c>
      <c r="H242" s="23" t="s">
        <v>31</v>
      </c>
      <c r="I242" s="43"/>
      <c r="J242" s="44"/>
      <c r="K242" s="24" t="s">
        <v>31</v>
      </c>
      <c r="L242" s="23" t="s">
        <v>31</v>
      </c>
      <c r="M242" s="43"/>
      <c r="N242" s="24" t="s">
        <v>31</v>
      </c>
      <c r="O242" s="30" t="s">
        <v>31</v>
      </c>
      <c r="P242" s="45" t="s">
        <v>31</v>
      </c>
      <c r="Q242" s="45" t="s">
        <v>31</v>
      </c>
      <c r="R242" s="37" t="s">
        <v>31</v>
      </c>
      <c r="S242" s="23" t="s">
        <v>31</v>
      </c>
      <c r="T242" s="23" t="s">
        <v>31</v>
      </c>
      <c r="U242" s="38" t="s">
        <v>31</v>
      </c>
      <c r="V242" s="23" t="s">
        <v>31</v>
      </c>
      <c r="W242" s="23" t="s">
        <v>31</v>
      </c>
      <c r="X242" s="43"/>
      <c r="Y242" s="44"/>
    </row>
    <row r="243" spans="1:25" hidden="1" x14ac:dyDescent="0.25">
      <c r="A243" s="44"/>
      <c r="B243" s="37" t="s">
        <v>31</v>
      </c>
      <c r="C243" s="44"/>
      <c r="D243" s="37" t="s">
        <v>31</v>
      </c>
      <c r="E243" s="44"/>
      <c r="F243" s="37" t="s">
        <v>31</v>
      </c>
      <c r="G243" s="23" t="s">
        <v>31</v>
      </c>
      <c r="H243" s="23" t="s">
        <v>31</v>
      </c>
      <c r="I243" s="43"/>
      <c r="J243" s="44"/>
      <c r="K243" s="24" t="s">
        <v>31</v>
      </c>
      <c r="L243" s="23" t="s">
        <v>31</v>
      </c>
      <c r="M243" s="43"/>
      <c r="N243" s="24" t="s">
        <v>31</v>
      </c>
      <c r="O243" s="30" t="s">
        <v>31</v>
      </c>
      <c r="P243" s="45" t="s">
        <v>31</v>
      </c>
      <c r="Q243" s="44"/>
      <c r="R243" s="37" t="s">
        <v>31</v>
      </c>
      <c r="S243" s="23" t="s">
        <v>31</v>
      </c>
      <c r="T243" s="23" t="s">
        <v>31</v>
      </c>
      <c r="U243" s="38" t="s">
        <v>31</v>
      </c>
      <c r="V243" s="23" t="s">
        <v>31</v>
      </c>
      <c r="W243" s="23" t="s">
        <v>31</v>
      </c>
      <c r="X243" s="43"/>
      <c r="Y243" s="44"/>
    </row>
    <row r="244" spans="1:25" hidden="1" x14ac:dyDescent="0.25">
      <c r="A244" s="46" t="s">
        <v>31</v>
      </c>
      <c r="B244" s="38" t="s">
        <v>31</v>
      </c>
      <c r="C244" s="39" t="s">
        <v>31</v>
      </c>
      <c r="D244" s="38" t="s">
        <v>31</v>
      </c>
      <c r="E244" s="44"/>
      <c r="F244" s="37" t="s">
        <v>31</v>
      </c>
      <c r="G244" s="23" t="s">
        <v>31</v>
      </c>
      <c r="H244" s="23" t="s">
        <v>31</v>
      </c>
      <c r="I244" s="43"/>
      <c r="J244" s="44"/>
      <c r="K244" s="24" t="s">
        <v>31</v>
      </c>
      <c r="L244" s="23" t="s">
        <v>31</v>
      </c>
      <c r="M244" s="44"/>
      <c r="N244" s="24" t="s">
        <v>31</v>
      </c>
      <c r="O244" s="30" t="s">
        <v>31</v>
      </c>
      <c r="P244" s="45" t="s">
        <v>31</v>
      </c>
      <c r="Q244" s="213" t="s">
        <v>31</v>
      </c>
      <c r="R244" s="37" t="s">
        <v>31</v>
      </c>
      <c r="S244" s="23" t="s">
        <v>31</v>
      </c>
      <c r="T244" s="23" t="s">
        <v>31</v>
      </c>
      <c r="U244" s="38" t="s">
        <v>31</v>
      </c>
      <c r="V244" s="23" t="s">
        <v>31</v>
      </c>
      <c r="W244" s="23" t="s">
        <v>31</v>
      </c>
      <c r="X244" s="22" t="s">
        <v>31</v>
      </c>
      <c r="Y244" s="39" t="s">
        <v>31</v>
      </c>
    </row>
    <row r="245" spans="1:25" hidden="1" x14ac:dyDescent="0.25">
      <c r="A245" s="37" t="s">
        <v>31</v>
      </c>
      <c r="B245" s="38" t="s">
        <v>31</v>
      </c>
      <c r="C245" s="38" t="s">
        <v>31</v>
      </c>
      <c r="D245" s="38" t="s">
        <v>31</v>
      </c>
      <c r="E245" s="44"/>
      <c r="F245" s="37" t="s">
        <v>31</v>
      </c>
      <c r="G245" s="23" t="s">
        <v>31</v>
      </c>
      <c r="H245" s="23" t="s">
        <v>31</v>
      </c>
      <c r="I245" s="22" t="s">
        <v>31</v>
      </c>
      <c r="J245" s="39" t="s">
        <v>31</v>
      </c>
      <c r="K245" s="23" t="s">
        <v>31</v>
      </c>
      <c r="L245" s="23" t="s">
        <v>31</v>
      </c>
      <c r="M245" s="22" t="s">
        <v>31</v>
      </c>
      <c r="N245" s="23" t="s">
        <v>31</v>
      </c>
      <c r="O245" s="22" t="s">
        <v>31</v>
      </c>
      <c r="P245" s="39" t="s">
        <v>31</v>
      </c>
      <c r="Q245" s="47" t="s">
        <v>31</v>
      </c>
      <c r="R245" s="37" t="s">
        <v>31</v>
      </c>
      <c r="S245" s="23" t="s">
        <v>31</v>
      </c>
      <c r="T245" s="23" t="s">
        <v>31</v>
      </c>
      <c r="U245" s="38" t="s">
        <v>31</v>
      </c>
      <c r="V245" s="23" t="s">
        <v>31</v>
      </c>
      <c r="W245" s="23" t="s">
        <v>31</v>
      </c>
      <c r="X245" s="23" t="s">
        <v>31</v>
      </c>
      <c r="Y245" s="38" t="s">
        <v>31</v>
      </c>
    </row>
    <row r="246" spans="1:25" hidden="1" x14ac:dyDescent="0.25">
      <c r="A246" s="37" t="s">
        <v>31</v>
      </c>
      <c r="B246" s="38" t="s">
        <v>31</v>
      </c>
      <c r="C246" s="38" t="s">
        <v>31</v>
      </c>
      <c r="D246" s="38" t="s">
        <v>31</v>
      </c>
      <c r="E246" s="39" t="s">
        <v>31</v>
      </c>
      <c r="F246" s="38" t="s">
        <v>31</v>
      </c>
      <c r="G246" s="23" t="s">
        <v>31</v>
      </c>
      <c r="H246" s="23" t="s">
        <v>31</v>
      </c>
      <c r="I246" s="23" t="s">
        <v>31</v>
      </c>
      <c r="J246" s="38" t="s">
        <v>31</v>
      </c>
      <c r="K246" s="23" t="s">
        <v>31</v>
      </c>
      <c r="L246" s="23" t="s">
        <v>31</v>
      </c>
      <c r="M246" s="23" t="s">
        <v>31</v>
      </c>
      <c r="N246" s="23" t="s">
        <v>31</v>
      </c>
      <c r="O246" s="23" t="s">
        <v>31</v>
      </c>
      <c r="P246" s="38" t="s">
        <v>31</v>
      </c>
      <c r="Q246" s="39" t="s">
        <v>31</v>
      </c>
      <c r="R246" s="38" t="s">
        <v>31</v>
      </c>
      <c r="S246" s="23" t="s">
        <v>31</v>
      </c>
      <c r="T246" s="23" t="s">
        <v>31</v>
      </c>
      <c r="U246" s="38" t="s">
        <v>31</v>
      </c>
      <c r="V246" s="23" t="s">
        <v>31</v>
      </c>
      <c r="W246" s="23" t="s">
        <v>31</v>
      </c>
      <c r="X246" s="23" t="s">
        <v>31</v>
      </c>
      <c r="Y246" s="38" t="s">
        <v>31</v>
      </c>
    </row>
    <row r="247" spans="1:25" hidden="1" x14ac:dyDescent="0.25">
      <c r="A247" s="37" t="s">
        <v>31</v>
      </c>
      <c r="B247" s="38" t="s">
        <v>31</v>
      </c>
      <c r="C247" s="38" t="s">
        <v>31</v>
      </c>
      <c r="D247" s="38" t="s">
        <v>31</v>
      </c>
      <c r="E247" s="38" t="s">
        <v>31</v>
      </c>
      <c r="F247" s="38" t="s">
        <v>31</v>
      </c>
      <c r="G247" s="23" t="s">
        <v>31</v>
      </c>
      <c r="H247" s="23" t="s">
        <v>31</v>
      </c>
      <c r="I247" s="23" t="s">
        <v>31</v>
      </c>
      <c r="J247" s="38" t="s">
        <v>31</v>
      </c>
      <c r="K247" s="23" t="s">
        <v>31</v>
      </c>
      <c r="L247" s="23" t="s">
        <v>31</v>
      </c>
      <c r="M247" s="23" t="s">
        <v>31</v>
      </c>
      <c r="N247" s="23" t="s">
        <v>31</v>
      </c>
      <c r="O247" s="23" t="s">
        <v>31</v>
      </c>
      <c r="P247" s="38" t="s">
        <v>31</v>
      </c>
      <c r="Q247" s="38" t="s">
        <v>31</v>
      </c>
      <c r="R247" s="38" t="s">
        <v>31</v>
      </c>
      <c r="S247" s="23" t="s">
        <v>31</v>
      </c>
      <c r="T247" s="23" t="s">
        <v>31</v>
      </c>
      <c r="U247" s="38" t="s">
        <v>31</v>
      </c>
      <c r="V247" s="23" t="s">
        <v>31</v>
      </c>
      <c r="W247" s="23" t="s">
        <v>31</v>
      </c>
      <c r="X247" s="23" t="s">
        <v>31</v>
      </c>
      <c r="Y247" s="38" t="s">
        <v>31</v>
      </c>
    </row>
    <row r="248" spans="1:25" hidden="1" x14ac:dyDescent="0.25">
      <c r="A248" s="37" t="s">
        <v>31</v>
      </c>
      <c r="B248" s="38" t="s">
        <v>31</v>
      </c>
      <c r="C248" s="38" t="s">
        <v>31</v>
      </c>
      <c r="D248" s="38" t="s">
        <v>31</v>
      </c>
      <c r="E248" s="38" t="s">
        <v>31</v>
      </c>
      <c r="F248" s="38" t="s">
        <v>31</v>
      </c>
      <c r="G248" s="23" t="s">
        <v>31</v>
      </c>
      <c r="H248" s="23" t="s">
        <v>31</v>
      </c>
      <c r="I248" s="23" t="s">
        <v>31</v>
      </c>
      <c r="J248" s="38" t="s">
        <v>31</v>
      </c>
      <c r="K248" s="23" t="s">
        <v>31</v>
      </c>
      <c r="L248" s="23" t="s">
        <v>31</v>
      </c>
      <c r="M248" s="23" t="s">
        <v>31</v>
      </c>
      <c r="N248" s="23" t="s">
        <v>31</v>
      </c>
      <c r="O248" s="23" t="s">
        <v>31</v>
      </c>
      <c r="P248" s="38" t="s">
        <v>31</v>
      </c>
      <c r="Q248" s="38" t="s">
        <v>31</v>
      </c>
      <c r="R248" s="38" t="s">
        <v>31</v>
      </c>
      <c r="S248" s="23" t="s">
        <v>31</v>
      </c>
      <c r="T248" s="23" t="s">
        <v>31</v>
      </c>
      <c r="U248" s="38" t="s">
        <v>31</v>
      </c>
      <c r="V248" s="23" t="s">
        <v>31</v>
      </c>
      <c r="W248" s="23" t="s">
        <v>31</v>
      </c>
      <c r="X248" s="23" t="s">
        <v>31</v>
      </c>
      <c r="Y248" s="38" t="s">
        <v>31</v>
      </c>
    </row>
    <row r="249" spans="1:25" hidden="1" x14ac:dyDescent="0.25">
      <c r="A249" s="37" t="s">
        <v>31</v>
      </c>
      <c r="B249" s="38" t="s">
        <v>31</v>
      </c>
      <c r="C249" s="38" t="s">
        <v>31</v>
      </c>
      <c r="D249" s="38" t="s">
        <v>31</v>
      </c>
      <c r="E249" s="38" t="s">
        <v>31</v>
      </c>
      <c r="F249" s="38" t="s">
        <v>31</v>
      </c>
      <c r="G249" s="23" t="s">
        <v>31</v>
      </c>
      <c r="H249" s="23" t="s">
        <v>31</v>
      </c>
      <c r="I249" s="23" t="s">
        <v>31</v>
      </c>
      <c r="J249" s="38" t="s">
        <v>31</v>
      </c>
      <c r="K249" s="23" t="s">
        <v>31</v>
      </c>
      <c r="L249" s="23" t="s">
        <v>31</v>
      </c>
      <c r="M249" s="23" t="s">
        <v>31</v>
      </c>
      <c r="N249" s="23" t="s">
        <v>31</v>
      </c>
      <c r="O249" s="23" t="s">
        <v>31</v>
      </c>
      <c r="P249" s="38" t="s">
        <v>31</v>
      </c>
      <c r="Q249" s="38" t="s">
        <v>31</v>
      </c>
      <c r="R249" s="38" t="s">
        <v>31</v>
      </c>
      <c r="S249" s="23" t="s">
        <v>31</v>
      </c>
      <c r="T249" s="23" t="s">
        <v>31</v>
      </c>
      <c r="U249" s="38" t="s">
        <v>31</v>
      </c>
      <c r="V249" s="23" t="s">
        <v>31</v>
      </c>
      <c r="W249" s="23" t="s">
        <v>31</v>
      </c>
      <c r="X249" s="23" t="s">
        <v>31</v>
      </c>
      <c r="Y249" s="38" t="s">
        <v>31</v>
      </c>
    </row>
    <row r="250" spans="1:25" hidden="1" x14ac:dyDescent="0.25">
      <c r="A250" s="37" t="s">
        <v>31</v>
      </c>
      <c r="B250" s="38" t="s">
        <v>31</v>
      </c>
      <c r="C250" s="38" t="s">
        <v>31</v>
      </c>
      <c r="D250" s="38" t="s">
        <v>31</v>
      </c>
      <c r="E250" s="38" t="s">
        <v>31</v>
      </c>
      <c r="F250" s="38" t="s">
        <v>31</v>
      </c>
      <c r="G250" s="23" t="s">
        <v>31</v>
      </c>
      <c r="H250" s="23" t="s">
        <v>31</v>
      </c>
      <c r="I250" s="23" t="s">
        <v>31</v>
      </c>
      <c r="J250" s="38" t="s">
        <v>31</v>
      </c>
      <c r="K250" s="23" t="s">
        <v>31</v>
      </c>
      <c r="L250" s="23" t="s">
        <v>31</v>
      </c>
      <c r="M250" s="23" t="s">
        <v>31</v>
      </c>
      <c r="N250" s="23" t="s">
        <v>31</v>
      </c>
      <c r="O250" s="23" t="s">
        <v>31</v>
      </c>
      <c r="P250" s="38" t="s">
        <v>31</v>
      </c>
      <c r="Q250" s="38" t="s">
        <v>31</v>
      </c>
      <c r="R250" s="38" t="s">
        <v>31</v>
      </c>
      <c r="S250" s="23" t="s">
        <v>31</v>
      </c>
      <c r="T250" s="23" t="s">
        <v>31</v>
      </c>
      <c r="U250" s="38" t="s">
        <v>31</v>
      </c>
      <c r="V250" s="23" t="s">
        <v>31</v>
      </c>
      <c r="W250" s="23" t="s">
        <v>31</v>
      </c>
      <c r="X250" s="23" t="s">
        <v>31</v>
      </c>
      <c r="Y250" s="38" t="s">
        <v>31</v>
      </c>
    </row>
    <row r="251" spans="1:25" hidden="1" x14ac:dyDescent="0.25">
      <c r="A251" s="37" t="s">
        <v>31</v>
      </c>
      <c r="B251" s="38" t="s">
        <v>31</v>
      </c>
      <c r="C251" s="38" t="s">
        <v>31</v>
      </c>
      <c r="D251" s="38" t="s">
        <v>31</v>
      </c>
      <c r="E251" s="38" t="s">
        <v>31</v>
      </c>
      <c r="F251" s="38" t="s">
        <v>31</v>
      </c>
      <c r="G251" s="23" t="s">
        <v>31</v>
      </c>
      <c r="H251" s="23" t="s">
        <v>31</v>
      </c>
      <c r="I251" s="23" t="s">
        <v>31</v>
      </c>
      <c r="J251" s="38" t="s">
        <v>31</v>
      </c>
      <c r="K251" s="23" t="s">
        <v>31</v>
      </c>
      <c r="L251" s="23" t="s">
        <v>31</v>
      </c>
      <c r="M251" s="23" t="s">
        <v>31</v>
      </c>
      <c r="N251" s="23" t="s">
        <v>31</v>
      </c>
      <c r="O251" s="23" t="s">
        <v>31</v>
      </c>
      <c r="P251" s="38" t="s">
        <v>31</v>
      </c>
      <c r="Q251" s="38" t="s">
        <v>31</v>
      </c>
      <c r="R251" s="38" t="s">
        <v>31</v>
      </c>
      <c r="S251" s="23" t="s">
        <v>31</v>
      </c>
      <c r="T251" s="23" t="s">
        <v>31</v>
      </c>
      <c r="U251" s="38" t="s">
        <v>31</v>
      </c>
      <c r="V251" s="23" t="s">
        <v>31</v>
      </c>
      <c r="W251" s="23" t="s">
        <v>31</v>
      </c>
      <c r="X251" s="23" t="s">
        <v>31</v>
      </c>
      <c r="Y251" s="38" t="s">
        <v>31</v>
      </c>
    </row>
    <row r="252" spans="1:25" hidden="1" x14ac:dyDescent="0.25">
      <c r="A252" s="37" t="s">
        <v>31</v>
      </c>
      <c r="B252" s="38" t="s">
        <v>31</v>
      </c>
      <c r="C252" s="38" t="s">
        <v>31</v>
      </c>
      <c r="D252" s="38" t="s">
        <v>31</v>
      </c>
      <c r="E252" s="38" t="s">
        <v>31</v>
      </c>
      <c r="F252" s="38" t="s">
        <v>31</v>
      </c>
      <c r="G252" s="23" t="s">
        <v>31</v>
      </c>
      <c r="H252" s="23" t="s">
        <v>31</v>
      </c>
      <c r="I252" s="23" t="s">
        <v>31</v>
      </c>
      <c r="J252" s="38" t="s">
        <v>31</v>
      </c>
      <c r="K252" s="23" t="s">
        <v>31</v>
      </c>
      <c r="L252" s="23" t="s">
        <v>31</v>
      </c>
      <c r="M252" s="23" t="s">
        <v>31</v>
      </c>
      <c r="N252" s="23" t="s">
        <v>31</v>
      </c>
      <c r="O252" s="23" t="s">
        <v>31</v>
      </c>
      <c r="P252" s="38" t="s">
        <v>31</v>
      </c>
      <c r="Q252" s="38" t="s">
        <v>31</v>
      </c>
      <c r="R252" s="38" t="s">
        <v>31</v>
      </c>
      <c r="S252" s="23" t="s">
        <v>31</v>
      </c>
      <c r="T252" s="23" t="s">
        <v>31</v>
      </c>
      <c r="U252" s="38" t="s">
        <v>31</v>
      </c>
      <c r="V252" s="23" t="s">
        <v>31</v>
      </c>
      <c r="W252" s="23" t="s">
        <v>31</v>
      </c>
      <c r="X252" s="23" t="s">
        <v>31</v>
      </c>
      <c r="Y252" s="38" t="s">
        <v>31</v>
      </c>
    </row>
    <row r="253" spans="1:25" hidden="1" x14ac:dyDescent="0.25">
      <c r="A253" s="37" t="s">
        <v>31</v>
      </c>
      <c r="B253" s="38" t="s">
        <v>31</v>
      </c>
      <c r="C253" s="38" t="s">
        <v>31</v>
      </c>
      <c r="D253" s="38" t="s">
        <v>31</v>
      </c>
      <c r="E253" s="38" t="s">
        <v>31</v>
      </c>
      <c r="F253" s="38" t="s">
        <v>31</v>
      </c>
      <c r="G253" s="23" t="s">
        <v>31</v>
      </c>
      <c r="H253" s="23" t="s">
        <v>31</v>
      </c>
      <c r="I253" s="23" t="s">
        <v>31</v>
      </c>
      <c r="J253" s="38" t="s">
        <v>31</v>
      </c>
      <c r="K253" s="23" t="s">
        <v>31</v>
      </c>
      <c r="L253" s="23" t="s">
        <v>31</v>
      </c>
      <c r="M253" s="23" t="s">
        <v>31</v>
      </c>
      <c r="N253" s="23" t="s">
        <v>31</v>
      </c>
      <c r="O253" s="23" t="s">
        <v>31</v>
      </c>
      <c r="P253" s="38" t="s">
        <v>31</v>
      </c>
      <c r="Q253" s="38" t="s">
        <v>31</v>
      </c>
      <c r="R253" s="38" t="s">
        <v>31</v>
      </c>
      <c r="S253" s="23" t="s">
        <v>31</v>
      </c>
      <c r="T253" s="23" t="s">
        <v>31</v>
      </c>
      <c r="U253" s="38" t="s">
        <v>31</v>
      </c>
      <c r="V253" s="23" t="s">
        <v>31</v>
      </c>
      <c r="W253" s="23" t="s">
        <v>31</v>
      </c>
      <c r="X253" s="23" t="s">
        <v>31</v>
      </c>
      <c r="Y253" s="38" t="s">
        <v>31</v>
      </c>
    </row>
    <row r="254" spans="1:25" hidden="1" x14ac:dyDescent="0.25">
      <c r="A254" s="37" t="s">
        <v>31</v>
      </c>
      <c r="B254" s="38" t="s">
        <v>31</v>
      </c>
      <c r="C254" s="38" t="s">
        <v>31</v>
      </c>
      <c r="D254" s="38" t="s">
        <v>31</v>
      </c>
      <c r="E254" s="38" t="s">
        <v>31</v>
      </c>
      <c r="F254" s="38" t="s">
        <v>31</v>
      </c>
      <c r="G254" s="23" t="s">
        <v>31</v>
      </c>
      <c r="H254" s="23" t="s">
        <v>31</v>
      </c>
      <c r="I254" s="23" t="s">
        <v>31</v>
      </c>
      <c r="J254" s="38" t="s">
        <v>31</v>
      </c>
      <c r="K254" s="23" t="s">
        <v>31</v>
      </c>
      <c r="L254" s="23" t="s">
        <v>31</v>
      </c>
      <c r="M254" s="23" t="s">
        <v>31</v>
      </c>
      <c r="N254" s="23" t="s">
        <v>31</v>
      </c>
      <c r="O254" s="23" t="s">
        <v>31</v>
      </c>
      <c r="P254" s="38" t="s">
        <v>31</v>
      </c>
      <c r="Q254" s="38" t="s">
        <v>31</v>
      </c>
      <c r="R254" s="38" t="s">
        <v>31</v>
      </c>
      <c r="S254" s="23" t="s">
        <v>31</v>
      </c>
      <c r="T254" s="23" t="s">
        <v>31</v>
      </c>
      <c r="U254" s="38" t="s">
        <v>31</v>
      </c>
      <c r="V254" s="23" t="s">
        <v>31</v>
      </c>
      <c r="W254" s="23" t="s">
        <v>31</v>
      </c>
      <c r="X254" s="23" t="s">
        <v>31</v>
      </c>
      <c r="Y254" s="38" t="s">
        <v>31</v>
      </c>
    </row>
    <row r="255" spans="1:25" hidden="1" x14ac:dyDescent="0.25">
      <c r="A255" s="37" t="s">
        <v>31</v>
      </c>
      <c r="B255" s="38" t="s">
        <v>31</v>
      </c>
      <c r="C255" s="38" t="s">
        <v>31</v>
      </c>
      <c r="D255" s="38" t="s">
        <v>31</v>
      </c>
      <c r="E255" s="38" t="s">
        <v>31</v>
      </c>
      <c r="F255" s="38" t="s">
        <v>31</v>
      </c>
      <c r="G255" s="23" t="s">
        <v>31</v>
      </c>
      <c r="H255" s="23" t="s">
        <v>31</v>
      </c>
      <c r="I255" s="23" t="s">
        <v>31</v>
      </c>
      <c r="J255" s="38" t="s">
        <v>31</v>
      </c>
      <c r="K255" s="23" t="s">
        <v>31</v>
      </c>
      <c r="L255" s="23" t="s">
        <v>31</v>
      </c>
      <c r="M255" s="23" t="s">
        <v>31</v>
      </c>
      <c r="N255" s="23" t="s">
        <v>31</v>
      </c>
      <c r="O255" s="23" t="s">
        <v>31</v>
      </c>
      <c r="P255" s="38" t="s">
        <v>31</v>
      </c>
      <c r="Q255" s="38" t="s">
        <v>31</v>
      </c>
      <c r="R255" s="38" t="s">
        <v>31</v>
      </c>
      <c r="S255" s="23" t="s">
        <v>31</v>
      </c>
      <c r="T255" s="23" t="s">
        <v>31</v>
      </c>
      <c r="U255" s="38" t="s">
        <v>31</v>
      </c>
      <c r="V255" s="23" t="s">
        <v>31</v>
      </c>
      <c r="W255" s="23" t="s">
        <v>31</v>
      </c>
      <c r="X255" s="23" t="s">
        <v>31</v>
      </c>
      <c r="Y255" s="38" t="s">
        <v>31</v>
      </c>
    </row>
    <row r="256" spans="1:25" hidden="1" x14ac:dyDescent="0.25">
      <c r="A256" s="37" t="s">
        <v>31</v>
      </c>
      <c r="B256" s="38" t="s">
        <v>31</v>
      </c>
      <c r="C256" s="38" t="s">
        <v>31</v>
      </c>
      <c r="D256" s="38" t="s">
        <v>31</v>
      </c>
      <c r="E256" s="38" t="s">
        <v>31</v>
      </c>
      <c r="F256" s="38" t="s">
        <v>31</v>
      </c>
      <c r="G256" s="23" t="s">
        <v>31</v>
      </c>
      <c r="H256" s="23" t="s">
        <v>31</v>
      </c>
      <c r="I256" s="23" t="s">
        <v>31</v>
      </c>
      <c r="J256" s="38" t="s">
        <v>31</v>
      </c>
      <c r="K256" s="23" t="s">
        <v>31</v>
      </c>
      <c r="L256" s="23" t="s">
        <v>31</v>
      </c>
      <c r="M256" s="23" t="s">
        <v>31</v>
      </c>
      <c r="N256" s="23" t="s">
        <v>31</v>
      </c>
      <c r="O256" s="23" t="s">
        <v>31</v>
      </c>
      <c r="P256" s="38" t="s">
        <v>31</v>
      </c>
      <c r="Q256" s="38" t="s">
        <v>31</v>
      </c>
      <c r="R256" s="38" t="s">
        <v>31</v>
      </c>
      <c r="S256" s="23" t="s">
        <v>31</v>
      </c>
      <c r="T256" s="23" t="s">
        <v>31</v>
      </c>
      <c r="U256" s="38" t="s">
        <v>31</v>
      </c>
      <c r="V256" s="23" t="s">
        <v>31</v>
      </c>
      <c r="W256" s="23" t="s">
        <v>31</v>
      </c>
      <c r="X256" s="23" t="s">
        <v>31</v>
      </c>
      <c r="Y256" s="38" t="s">
        <v>31</v>
      </c>
    </row>
    <row r="257" spans="1:25" hidden="1" x14ac:dyDescent="0.25">
      <c r="A257" s="37" t="s">
        <v>31</v>
      </c>
      <c r="B257" s="38" t="s">
        <v>31</v>
      </c>
      <c r="C257" s="38" t="s">
        <v>31</v>
      </c>
      <c r="D257" s="38" t="s">
        <v>31</v>
      </c>
      <c r="E257" s="38" t="s">
        <v>31</v>
      </c>
      <c r="F257" s="38" t="s">
        <v>31</v>
      </c>
      <c r="G257" s="23" t="s">
        <v>31</v>
      </c>
      <c r="H257" s="23" t="s">
        <v>31</v>
      </c>
      <c r="I257" s="23" t="s">
        <v>31</v>
      </c>
      <c r="J257" s="38" t="s">
        <v>31</v>
      </c>
      <c r="K257" s="23" t="s">
        <v>31</v>
      </c>
      <c r="L257" s="23" t="s">
        <v>31</v>
      </c>
      <c r="M257" s="23" t="s">
        <v>31</v>
      </c>
      <c r="N257" s="23" t="s">
        <v>31</v>
      </c>
      <c r="O257" s="23" t="s">
        <v>31</v>
      </c>
      <c r="P257" s="38" t="s">
        <v>31</v>
      </c>
      <c r="Q257" s="38" t="s">
        <v>31</v>
      </c>
      <c r="R257" s="38" t="s">
        <v>31</v>
      </c>
      <c r="S257" s="23" t="s">
        <v>31</v>
      </c>
      <c r="T257" s="23" t="s">
        <v>31</v>
      </c>
      <c r="U257" s="38" t="s">
        <v>31</v>
      </c>
      <c r="V257" s="23" t="s">
        <v>31</v>
      </c>
      <c r="W257" s="23" t="s">
        <v>31</v>
      </c>
      <c r="X257" s="23" t="s">
        <v>31</v>
      </c>
      <c r="Y257" s="38" t="s">
        <v>31</v>
      </c>
    </row>
    <row r="258" spans="1:25" hidden="1" x14ac:dyDescent="0.25">
      <c r="A258" s="37" t="s">
        <v>31</v>
      </c>
      <c r="B258" s="38" t="s">
        <v>31</v>
      </c>
      <c r="C258" s="38" t="s">
        <v>31</v>
      </c>
      <c r="D258" s="38" t="s">
        <v>31</v>
      </c>
      <c r="E258" s="38" t="s">
        <v>31</v>
      </c>
      <c r="F258" s="38" t="s">
        <v>31</v>
      </c>
      <c r="G258" s="23" t="s">
        <v>31</v>
      </c>
      <c r="H258" s="23" t="s">
        <v>31</v>
      </c>
      <c r="I258" s="23" t="s">
        <v>31</v>
      </c>
      <c r="J258" s="38" t="s">
        <v>31</v>
      </c>
      <c r="K258" s="23" t="s">
        <v>31</v>
      </c>
      <c r="L258" s="23" t="s">
        <v>31</v>
      </c>
      <c r="M258" s="23" t="s">
        <v>31</v>
      </c>
      <c r="N258" s="23" t="s">
        <v>31</v>
      </c>
      <c r="O258" s="23" t="s">
        <v>31</v>
      </c>
      <c r="P258" s="38" t="s">
        <v>31</v>
      </c>
      <c r="Q258" s="38" t="s">
        <v>31</v>
      </c>
      <c r="R258" s="38" t="s">
        <v>31</v>
      </c>
      <c r="S258" s="23" t="s">
        <v>31</v>
      </c>
      <c r="T258" s="23" t="s">
        <v>31</v>
      </c>
      <c r="U258" s="38" t="s">
        <v>31</v>
      </c>
      <c r="V258" s="23" t="s">
        <v>31</v>
      </c>
      <c r="W258" s="23" t="s">
        <v>31</v>
      </c>
      <c r="X258" s="23" t="s">
        <v>31</v>
      </c>
      <c r="Y258" s="38" t="s">
        <v>31</v>
      </c>
    </row>
    <row r="259" spans="1:25" hidden="1" x14ac:dyDescent="0.25">
      <c r="A259" s="37" t="s">
        <v>31</v>
      </c>
      <c r="B259" s="38" t="s">
        <v>31</v>
      </c>
      <c r="C259" s="38" t="s">
        <v>31</v>
      </c>
      <c r="D259" s="38" t="s">
        <v>31</v>
      </c>
      <c r="E259" s="38" t="s">
        <v>31</v>
      </c>
      <c r="F259" s="38" t="s">
        <v>31</v>
      </c>
      <c r="G259" s="23" t="s">
        <v>31</v>
      </c>
      <c r="H259" s="23" t="s">
        <v>31</v>
      </c>
      <c r="I259" s="23" t="s">
        <v>31</v>
      </c>
      <c r="J259" s="38" t="s">
        <v>31</v>
      </c>
      <c r="K259" s="23" t="s">
        <v>31</v>
      </c>
      <c r="L259" s="23" t="s">
        <v>31</v>
      </c>
      <c r="M259" s="23" t="s">
        <v>31</v>
      </c>
      <c r="N259" s="23" t="s">
        <v>31</v>
      </c>
      <c r="O259" s="23" t="s">
        <v>31</v>
      </c>
      <c r="P259" s="38" t="s">
        <v>31</v>
      </c>
      <c r="Q259" s="38" t="s">
        <v>31</v>
      </c>
      <c r="R259" s="38" t="s">
        <v>31</v>
      </c>
      <c r="S259" s="23" t="s">
        <v>31</v>
      </c>
      <c r="T259" s="23" t="s">
        <v>31</v>
      </c>
      <c r="U259" s="38" t="s">
        <v>31</v>
      </c>
      <c r="V259" s="23" t="s">
        <v>31</v>
      </c>
      <c r="W259" s="23" t="s">
        <v>31</v>
      </c>
      <c r="X259" s="23" t="s">
        <v>31</v>
      </c>
      <c r="Y259" s="38" t="s">
        <v>31</v>
      </c>
    </row>
    <row r="260" spans="1:25" hidden="1" x14ac:dyDescent="0.25">
      <c r="A260" s="37" t="s">
        <v>31</v>
      </c>
      <c r="B260" s="38" t="s">
        <v>31</v>
      </c>
      <c r="C260" s="38" t="s">
        <v>31</v>
      </c>
      <c r="D260" s="38" t="s">
        <v>31</v>
      </c>
      <c r="E260" s="38" t="s">
        <v>31</v>
      </c>
      <c r="F260" s="38" t="s">
        <v>31</v>
      </c>
      <c r="G260" s="23" t="s">
        <v>31</v>
      </c>
      <c r="H260" s="23" t="s">
        <v>31</v>
      </c>
      <c r="I260" s="23" t="s">
        <v>31</v>
      </c>
      <c r="J260" s="38" t="s">
        <v>31</v>
      </c>
      <c r="K260" s="23" t="s">
        <v>31</v>
      </c>
      <c r="L260" s="23" t="s">
        <v>31</v>
      </c>
      <c r="M260" s="23" t="s">
        <v>31</v>
      </c>
      <c r="N260" s="23" t="s">
        <v>31</v>
      </c>
      <c r="O260" s="23" t="s">
        <v>31</v>
      </c>
      <c r="P260" s="38" t="s">
        <v>31</v>
      </c>
      <c r="Q260" s="38" t="s">
        <v>31</v>
      </c>
      <c r="R260" s="38" t="s">
        <v>31</v>
      </c>
      <c r="S260" s="23" t="s">
        <v>31</v>
      </c>
      <c r="T260" s="23" t="s">
        <v>31</v>
      </c>
      <c r="U260" s="38" t="s">
        <v>31</v>
      </c>
      <c r="V260" s="23" t="s">
        <v>31</v>
      </c>
      <c r="W260" s="23" t="s">
        <v>31</v>
      </c>
      <c r="X260" s="23" t="s">
        <v>31</v>
      </c>
      <c r="Y260" s="38" t="s">
        <v>31</v>
      </c>
    </row>
    <row r="261" spans="1:25" hidden="1" x14ac:dyDescent="0.25">
      <c r="A261" s="37" t="s">
        <v>31</v>
      </c>
      <c r="B261" s="38" t="s">
        <v>31</v>
      </c>
      <c r="C261" s="38" t="s">
        <v>31</v>
      </c>
      <c r="D261" s="38" t="s">
        <v>31</v>
      </c>
      <c r="E261" s="38" t="s">
        <v>31</v>
      </c>
      <c r="F261" s="38" t="s">
        <v>31</v>
      </c>
      <c r="G261" s="23" t="s">
        <v>31</v>
      </c>
      <c r="H261" s="23" t="s">
        <v>31</v>
      </c>
      <c r="I261" s="23" t="s">
        <v>31</v>
      </c>
      <c r="J261" s="38" t="s">
        <v>31</v>
      </c>
      <c r="K261" s="23" t="s">
        <v>31</v>
      </c>
      <c r="L261" s="23" t="s">
        <v>31</v>
      </c>
      <c r="M261" s="23" t="s">
        <v>31</v>
      </c>
      <c r="N261" s="23" t="s">
        <v>31</v>
      </c>
      <c r="O261" s="23" t="s">
        <v>31</v>
      </c>
      <c r="P261" s="38" t="s">
        <v>31</v>
      </c>
      <c r="Q261" s="38" t="s">
        <v>31</v>
      </c>
      <c r="R261" s="38" t="s">
        <v>31</v>
      </c>
      <c r="S261" s="23" t="s">
        <v>31</v>
      </c>
      <c r="T261" s="23" t="s">
        <v>31</v>
      </c>
      <c r="U261" s="38" t="s">
        <v>31</v>
      </c>
      <c r="V261" s="23" t="s">
        <v>31</v>
      </c>
      <c r="W261" s="23" t="s">
        <v>31</v>
      </c>
      <c r="X261" s="23" t="s">
        <v>31</v>
      </c>
      <c r="Y261" s="38" t="s">
        <v>31</v>
      </c>
    </row>
    <row r="262" spans="1:25" hidden="1" x14ac:dyDescent="0.25">
      <c r="A262" s="37" t="s">
        <v>31</v>
      </c>
      <c r="B262" s="38" t="s">
        <v>31</v>
      </c>
      <c r="C262" s="38" t="s">
        <v>31</v>
      </c>
      <c r="D262" s="38" t="s">
        <v>31</v>
      </c>
      <c r="E262" s="38" t="s">
        <v>31</v>
      </c>
      <c r="F262" s="38" t="s">
        <v>31</v>
      </c>
      <c r="G262" s="23" t="s">
        <v>31</v>
      </c>
      <c r="H262" s="23" t="s">
        <v>31</v>
      </c>
      <c r="I262" s="23" t="s">
        <v>31</v>
      </c>
      <c r="J262" s="38" t="s">
        <v>31</v>
      </c>
      <c r="K262" s="23" t="s">
        <v>31</v>
      </c>
      <c r="L262" s="23" t="s">
        <v>31</v>
      </c>
      <c r="M262" s="23" t="s">
        <v>31</v>
      </c>
      <c r="N262" s="23" t="s">
        <v>31</v>
      </c>
      <c r="O262" s="23" t="s">
        <v>31</v>
      </c>
      <c r="P262" s="38" t="s">
        <v>31</v>
      </c>
      <c r="Q262" s="38" t="s">
        <v>31</v>
      </c>
      <c r="R262" s="38" t="s">
        <v>31</v>
      </c>
      <c r="S262" s="23" t="s">
        <v>31</v>
      </c>
      <c r="T262" s="23" t="s">
        <v>31</v>
      </c>
      <c r="U262" s="38" t="s">
        <v>31</v>
      </c>
      <c r="V262" s="23" t="s">
        <v>31</v>
      </c>
      <c r="W262" s="23" t="s">
        <v>31</v>
      </c>
      <c r="X262" s="23" t="s">
        <v>31</v>
      </c>
      <c r="Y262" s="38" t="s">
        <v>31</v>
      </c>
    </row>
    <row r="263" spans="1:25" hidden="1" x14ac:dyDescent="0.25">
      <c r="A263" s="37" t="s">
        <v>31</v>
      </c>
      <c r="B263" s="38" t="s">
        <v>31</v>
      </c>
      <c r="C263" s="38" t="s">
        <v>31</v>
      </c>
      <c r="D263" s="38" t="s">
        <v>31</v>
      </c>
      <c r="E263" s="38" t="s">
        <v>31</v>
      </c>
      <c r="F263" s="38" t="s">
        <v>31</v>
      </c>
      <c r="G263" s="23" t="s">
        <v>31</v>
      </c>
      <c r="H263" s="23" t="s">
        <v>31</v>
      </c>
      <c r="I263" s="23" t="s">
        <v>31</v>
      </c>
      <c r="J263" s="38" t="s">
        <v>31</v>
      </c>
      <c r="K263" s="23" t="s">
        <v>31</v>
      </c>
      <c r="L263" s="23" t="s">
        <v>31</v>
      </c>
      <c r="M263" s="23" t="s">
        <v>31</v>
      </c>
      <c r="N263" s="23" t="s">
        <v>31</v>
      </c>
      <c r="O263" s="23" t="s">
        <v>31</v>
      </c>
      <c r="P263" s="38" t="s">
        <v>31</v>
      </c>
      <c r="Q263" s="38" t="s">
        <v>31</v>
      </c>
      <c r="R263" s="38" t="s">
        <v>31</v>
      </c>
      <c r="S263" s="23" t="s">
        <v>31</v>
      </c>
      <c r="T263" s="23" t="s">
        <v>31</v>
      </c>
      <c r="U263" s="38" t="s">
        <v>31</v>
      </c>
      <c r="V263" s="23" t="s">
        <v>31</v>
      </c>
      <c r="W263" s="23" t="s">
        <v>31</v>
      </c>
      <c r="X263" s="23" t="s">
        <v>31</v>
      </c>
      <c r="Y263" s="38" t="s">
        <v>31</v>
      </c>
    </row>
    <row r="264" spans="1:25" hidden="1" x14ac:dyDescent="0.25">
      <c r="A264" s="37" t="s">
        <v>31</v>
      </c>
      <c r="B264" s="38" t="s">
        <v>31</v>
      </c>
      <c r="C264" s="38" t="s">
        <v>31</v>
      </c>
      <c r="D264" s="38" t="s">
        <v>31</v>
      </c>
      <c r="E264" s="38" t="s">
        <v>31</v>
      </c>
      <c r="F264" s="38" t="s">
        <v>31</v>
      </c>
      <c r="G264" s="23" t="s">
        <v>31</v>
      </c>
      <c r="H264" s="23" t="s">
        <v>31</v>
      </c>
      <c r="I264" s="23" t="s">
        <v>31</v>
      </c>
      <c r="J264" s="38" t="s">
        <v>31</v>
      </c>
      <c r="K264" s="23" t="s">
        <v>31</v>
      </c>
      <c r="L264" s="23" t="s">
        <v>31</v>
      </c>
      <c r="M264" s="23" t="s">
        <v>31</v>
      </c>
      <c r="N264" s="23" t="s">
        <v>31</v>
      </c>
      <c r="O264" s="23" t="s">
        <v>31</v>
      </c>
      <c r="P264" s="38" t="s">
        <v>31</v>
      </c>
      <c r="Q264" s="38" t="s">
        <v>31</v>
      </c>
      <c r="R264" s="38" t="s">
        <v>31</v>
      </c>
      <c r="S264" s="23" t="s">
        <v>31</v>
      </c>
      <c r="T264" s="23" t="s">
        <v>31</v>
      </c>
      <c r="U264" s="38" t="s">
        <v>31</v>
      </c>
      <c r="V264" s="23" t="s">
        <v>31</v>
      </c>
      <c r="W264" s="23" t="s">
        <v>31</v>
      </c>
      <c r="X264" s="23" t="s">
        <v>31</v>
      </c>
      <c r="Y264" s="38" t="s">
        <v>31</v>
      </c>
    </row>
    <row r="265" spans="1:25" hidden="1" x14ac:dyDescent="0.25">
      <c r="A265" s="37" t="s">
        <v>31</v>
      </c>
      <c r="B265" s="38" t="s">
        <v>31</v>
      </c>
      <c r="C265" s="38" t="s">
        <v>31</v>
      </c>
      <c r="D265" s="38" t="s">
        <v>31</v>
      </c>
      <c r="E265" s="38" t="s">
        <v>31</v>
      </c>
      <c r="F265" s="38" t="s">
        <v>31</v>
      </c>
      <c r="G265" s="23" t="s">
        <v>31</v>
      </c>
      <c r="H265" s="23" t="s">
        <v>31</v>
      </c>
      <c r="I265" s="23" t="s">
        <v>31</v>
      </c>
      <c r="J265" s="38" t="s">
        <v>31</v>
      </c>
      <c r="K265" s="23" t="s">
        <v>31</v>
      </c>
      <c r="L265" s="23" t="s">
        <v>31</v>
      </c>
      <c r="M265" s="23" t="s">
        <v>31</v>
      </c>
      <c r="N265" s="23" t="s">
        <v>31</v>
      </c>
      <c r="O265" s="23" t="s">
        <v>31</v>
      </c>
      <c r="P265" s="38" t="s">
        <v>31</v>
      </c>
      <c r="Q265" s="38" t="s">
        <v>31</v>
      </c>
      <c r="R265" s="38" t="s">
        <v>31</v>
      </c>
      <c r="S265" s="23" t="s">
        <v>31</v>
      </c>
      <c r="T265" s="23" t="s">
        <v>31</v>
      </c>
      <c r="U265" s="38" t="s">
        <v>31</v>
      </c>
      <c r="V265" s="23" t="s">
        <v>31</v>
      </c>
      <c r="W265" s="23" t="s">
        <v>31</v>
      </c>
      <c r="X265" s="23" t="s">
        <v>31</v>
      </c>
      <c r="Y265" s="38" t="s">
        <v>31</v>
      </c>
    </row>
    <row r="266" spans="1:25" hidden="1" x14ac:dyDescent="0.25">
      <c r="A266" s="37" t="s">
        <v>31</v>
      </c>
      <c r="B266" s="38" t="s">
        <v>31</v>
      </c>
      <c r="C266" s="38" t="s">
        <v>31</v>
      </c>
      <c r="D266" s="38" t="s">
        <v>31</v>
      </c>
      <c r="E266" s="38" t="s">
        <v>31</v>
      </c>
      <c r="F266" s="38" t="s">
        <v>31</v>
      </c>
      <c r="G266" s="23" t="s">
        <v>31</v>
      </c>
      <c r="H266" s="23" t="s">
        <v>31</v>
      </c>
      <c r="I266" s="23" t="s">
        <v>31</v>
      </c>
      <c r="J266" s="38" t="s">
        <v>31</v>
      </c>
      <c r="K266" s="23" t="s">
        <v>31</v>
      </c>
      <c r="L266" s="23" t="s">
        <v>31</v>
      </c>
      <c r="M266" s="23" t="s">
        <v>31</v>
      </c>
      <c r="N266" s="23" t="s">
        <v>31</v>
      </c>
      <c r="O266" s="23" t="s">
        <v>31</v>
      </c>
      <c r="P266" s="38" t="s">
        <v>31</v>
      </c>
      <c r="Q266" s="38" t="s">
        <v>31</v>
      </c>
      <c r="R266" s="38" t="s">
        <v>31</v>
      </c>
      <c r="S266" s="23" t="s">
        <v>31</v>
      </c>
      <c r="T266" s="23" t="s">
        <v>31</v>
      </c>
      <c r="U266" s="38" t="s">
        <v>31</v>
      </c>
      <c r="V266" s="23" t="s">
        <v>31</v>
      </c>
      <c r="W266" s="23" t="s">
        <v>31</v>
      </c>
      <c r="X266" s="23" t="s">
        <v>31</v>
      </c>
      <c r="Y266" s="38" t="s">
        <v>31</v>
      </c>
    </row>
    <row r="267" spans="1:25" hidden="1" x14ac:dyDescent="0.25">
      <c r="A267" s="37" t="s">
        <v>31</v>
      </c>
      <c r="B267" s="38" t="s">
        <v>31</v>
      </c>
      <c r="C267" s="38" t="s">
        <v>31</v>
      </c>
      <c r="D267" s="38" t="s">
        <v>31</v>
      </c>
      <c r="E267" s="38" t="s">
        <v>31</v>
      </c>
      <c r="F267" s="38" t="s">
        <v>31</v>
      </c>
      <c r="G267" s="23" t="s">
        <v>31</v>
      </c>
      <c r="H267" s="23" t="s">
        <v>31</v>
      </c>
      <c r="I267" s="23" t="s">
        <v>31</v>
      </c>
      <c r="J267" s="38" t="s">
        <v>31</v>
      </c>
      <c r="K267" s="23" t="s">
        <v>31</v>
      </c>
      <c r="L267" s="23" t="s">
        <v>31</v>
      </c>
      <c r="M267" s="23" t="s">
        <v>31</v>
      </c>
      <c r="N267" s="23" t="s">
        <v>31</v>
      </c>
      <c r="O267" s="23" t="s">
        <v>31</v>
      </c>
      <c r="P267" s="38" t="s">
        <v>31</v>
      </c>
      <c r="Q267" s="38" t="s">
        <v>31</v>
      </c>
      <c r="R267" s="38" t="s">
        <v>31</v>
      </c>
      <c r="S267" s="23" t="s">
        <v>31</v>
      </c>
      <c r="T267" s="23" t="s">
        <v>31</v>
      </c>
      <c r="U267" s="38" t="s">
        <v>31</v>
      </c>
      <c r="V267" s="23" t="s">
        <v>31</v>
      </c>
      <c r="W267" s="23" t="s">
        <v>31</v>
      </c>
      <c r="X267" s="23" t="s">
        <v>31</v>
      </c>
      <c r="Y267" s="38" t="s">
        <v>31</v>
      </c>
    </row>
    <row r="268" spans="1:25" hidden="1" x14ac:dyDescent="0.25">
      <c r="A268" s="37" t="s">
        <v>31</v>
      </c>
      <c r="B268" s="38" t="s">
        <v>31</v>
      </c>
      <c r="C268" s="38" t="s">
        <v>31</v>
      </c>
      <c r="D268" s="38" t="s">
        <v>31</v>
      </c>
      <c r="E268" s="38" t="s">
        <v>31</v>
      </c>
      <c r="F268" s="38" t="s">
        <v>31</v>
      </c>
      <c r="G268" s="23" t="s">
        <v>31</v>
      </c>
      <c r="H268" s="23" t="s">
        <v>31</v>
      </c>
      <c r="I268" s="23" t="s">
        <v>31</v>
      </c>
      <c r="J268" s="38" t="s">
        <v>31</v>
      </c>
      <c r="K268" s="23" t="s">
        <v>31</v>
      </c>
      <c r="L268" s="23" t="s">
        <v>31</v>
      </c>
      <c r="M268" s="23" t="s">
        <v>31</v>
      </c>
      <c r="N268" s="23" t="s">
        <v>31</v>
      </c>
      <c r="O268" s="23" t="s">
        <v>31</v>
      </c>
      <c r="P268" s="38" t="s">
        <v>31</v>
      </c>
      <c r="Q268" s="38" t="s">
        <v>31</v>
      </c>
      <c r="R268" s="38" t="s">
        <v>31</v>
      </c>
      <c r="S268" s="23" t="s">
        <v>31</v>
      </c>
      <c r="T268" s="23" t="s">
        <v>31</v>
      </c>
      <c r="U268" s="38" t="s">
        <v>31</v>
      </c>
      <c r="V268" s="23" t="s">
        <v>31</v>
      </c>
      <c r="W268" s="23" t="s">
        <v>31</v>
      </c>
      <c r="X268" s="23" t="s">
        <v>31</v>
      </c>
      <c r="Y268" s="38" t="s">
        <v>31</v>
      </c>
    </row>
    <row r="269" spans="1:25" hidden="1" x14ac:dyDescent="0.25">
      <c r="A269" s="37" t="s">
        <v>31</v>
      </c>
      <c r="B269" s="38" t="s">
        <v>31</v>
      </c>
      <c r="C269" s="38" t="s">
        <v>31</v>
      </c>
      <c r="D269" s="38" t="s">
        <v>31</v>
      </c>
      <c r="E269" s="38" t="s">
        <v>31</v>
      </c>
      <c r="F269" s="38" t="s">
        <v>31</v>
      </c>
      <c r="G269" s="23" t="s">
        <v>31</v>
      </c>
      <c r="H269" s="23" t="s">
        <v>31</v>
      </c>
      <c r="I269" s="23" t="s">
        <v>31</v>
      </c>
      <c r="J269" s="38" t="s">
        <v>31</v>
      </c>
      <c r="K269" s="23" t="s">
        <v>31</v>
      </c>
      <c r="L269" s="23" t="s">
        <v>31</v>
      </c>
      <c r="M269" s="23" t="s">
        <v>31</v>
      </c>
      <c r="N269" s="23" t="s">
        <v>31</v>
      </c>
      <c r="O269" s="23" t="s">
        <v>31</v>
      </c>
      <c r="P269" s="38" t="s">
        <v>31</v>
      </c>
      <c r="Q269" s="38" t="s">
        <v>31</v>
      </c>
      <c r="R269" s="38" t="s">
        <v>31</v>
      </c>
      <c r="S269" s="23" t="s">
        <v>31</v>
      </c>
      <c r="T269" s="23" t="s">
        <v>31</v>
      </c>
      <c r="U269" s="38" t="s">
        <v>31</v>
      </c>
      <c r="V269" s="23" t="s">
        <v>31</v>
      </c>
      <c r="W269" s="23" t="s">
        <v>31</v>
      </c>
      <c r="X269" s="23" t="s">
        <v>31</v>
      </c>
      <c r="Y269" s="38" t="s">
        <v>31</v>
      </c>
    </row>
    <row r="270" spans="1:25" hidden="1" x14ac:dyDescent="0.25">
      <c r="A270" s="37" t="s">
        <v>31</v>
      </c>
      <c r="B270" s="38" t="s">
        <v>31</v>
      </c>
      <c r="C270" s="38" t="s">
        <v>31</v>
      </c>
      <c r="D270" s="38" t="s">
        <v>31</v>
      </c>
      <c r="E270" s="38" t="s">
        <v>31</v>
      </c>
      <c r="F270" s="38" t="s">
        <v>31</v>
      </c>
      <c r="G270" s="23" t="s">
        <v>31</v>
      </c>
      <c r="H270" s="23" t="s">
        <v>31</v>
      </c>
      <c r="I270" s="23" t="s">
        <v>31</v>
      </c>
      <c r="J270" s="38" t="s">
        <v>31</v>
      </c>
      <c r="K270" s="23" t="s">
        <v>31</v>
      </c>
      <c r="L270" s="23" t="s">
        <v>31</v>
      </c>
      <c r="M270" s="23" t="s">
        <v>31</v>
      </c>
      <c r="N270" s="23" t="s">
        <v>31</v>
      </c>
      <c r="O270" s="23" t="s">
        <v>31</v>
      </c>
      <c r="P270" s="38" t="s">
        <v>31</v>
      </c>
      <c r="Q270" s="38" t="s">
        <v>31</v>
      </c>
      <c r="R270" s="38" t="s">
        <v>31</v>
      </c>
      <c r="S270" s="23" t="s">
        <v>31</v>
      </c>
      <c r="T270" s="23" t="s">
        <v>31</v>
      </c>
      <c r="U270" s="38" t="s">
        <v>31</v>
      </c>
      <c r="V270" s="23" t="s">
        <v>31</v>
      </c>
      <c r="W270" s="23" t="s">
        <v>31</v>
      </c>
      <c r="X270" s="23" t="s">
        <v>31</v>
      </c>
      <c r="Y270" s="38" t="s">
        <v>31</v>
      </c>
    </row>
    <row r="271" spans="1:25" hidden="1" x14ac:dyDescent="0.25">
      <c r="A271" s="37" t="s">
        <v>31</v>
      </c>
      <c r="B271" s="38" t="s">
        <v>31</v>
      </c>
      <c r="C271" s="38" t="s">
        <v>31</v>
      </c>
      <c r="D271" s="38" t="s">
        <v>31</v>
      </c>
      <c r="E271" s="38" t="s">
        <v>31</v>
      </c>
      <c r="F271" s="38" t="s">
        <v>31</v>
      </c>
      <c r="G271" s="23" t="s">
        <v>31</v>
      </c>
      <c r="H271" s="23" t="s">
        <v>31</v>
      </c>
      <c r="I271" s="23" t="s">
        <v>31</v>
      </c>
      <c r="J271" s="38" t="s">
        <v>31</v>
      </c>
      <c r="K271" s="23" t="s">
        <v>31</v>
      </c>
      <c r="L271" s="23" t="s">
        <v>31</v>
      </c>
      <c r="M271" s="23" t="s">
        <v>31</v>
      </c>
      <c r="N271" s="23" t="s">
        <v>31</v>
      </c>
      <c r="O271" s="23" t="s">
        <v>31</v>
      </c>
      <c r="P271" s="38" t="s">
        <v>31</v>
      </c>
      <c r="Q271" s="38" t="s">
        <v>31</v>
      </c>
      <c r="R271" s="38" t="s">
        <v>31</v>
      </c>
      <c r="S271" s="23" t="s">
        <v>31</v>
      </c>
      <c r="T271" s="23" t="s">
        <v>31</v>
      </c>
      <c r="U271" s="38" t="s">
        <v>31</v>
      </c>
      <c r="V271" s="23" t="s">
        <v>31</v>
      </c>
      <c r="W271" s="23" t="s">
        <v>31</v>
      </c>
      <c r="X271" s="23" t="s">
        <v>31</v>
      </c>
      <c r="Y271" s="38" t="s">
        <v>31</v>
      </c>
    </row>
    <row r="272" spans="1:25" hidden="1" x14ac:dyDescent="0.25">
      <c r="A272" s="37" t="s">
        <v>31</v>
      </c>
      <c r="B272" s="38" t="s">
        <v>31</v>
      </c>
      <c r="C272" s="38" t="s">
        <v>31</v>
      </c>
      <c r="D272" s="38" t="s">
        <v>31</v>
      </c>
      <c r="E272" s="38" t="s">
        <v>31</v>
      </c>
      <c r="F272" s="38" t="s">
        <v>31</v>
      </c>
      <c r="G272" s="23" t="s">
        <v>31</v>
      </c>
      <c r="H272" s="23" t="s">
        <v>31</v>
      </c>
      <c r="I272" s="23" t="s">
        <v>31</v>
      </c>
      <c r="J272" s="38" t="s">
        <v>31</v>
      </c>
      <c r="K272" s="23" t="s">
        <v>31</v>
      </c>
      <c r="L272" s="23" t="s">
        <v>31</v>
      </c>
      <c r="M272" s="23" t="s">
        <v>31</v>
      </c>
      <c r="N272" s="23" t="s">
        <v>31</v>
      </c>
      <c r="O272" s="23" t="s">
        <v>31</v>
      </c>
      <c r="P272" s="38" t="s">
        <v>31</v>
      </c>
      <c r="Q272" s="38" t="s">
        <v>31</v>
      </c>
      <c r="R272" s="38" t="s">
        <v>31</v>
      </c>
      <c r="S272" s="23" t="s">
        <v>31</v>
      </c>
      <c r="T272" s="23" t="s">
        <v>31</v>
      </c>
      <c r="U272" s="38" t="s">
        <v>31</v>
      </c>
      <c r="V272" s="23" t="s">
        <v>31</v>
      </c>
      <c r="W272" s="23" t="s">
        <v>31</v>
      </c>
      <c r="X272" s="23" t="s">
        <v>31</v>
      </c>
      <c r="Y272" s="38" t="s">
        <v>31</v>
      </c>
    </row>
    <row r="273" spans="1:25" hidden="1" x14ac:dyDescent="0.25">
      <c r="A273" s="37" t="s">
        <v>31</v>
      </c>
      <c r="B273" s="38" t="s">
        <v>31</v>
      </c>
      <c r="C273" s="38" t="s">
        <v>31</v>
      </c>
      <c r="D273" s="38" t="s">
        <v>31</v>
      </c>
      <c r="E273" s="38" t="s">
        <v>31</v>
      </c>
      <c r="F273" s="38" t="s">
        <v>31</v>
      </c>
      <c r="G273" s="23" t="s">
        <v>31</v>
      </c>
      <c r="H273" s="23" t="s">
        <v>31</v>
      </c>
      <c r="I273" s="23" t="s">
        <v>31</v>
      </c>
      <c r="J273" s="38" t="s">
        <v>31</v>
      </c>
      <c r="K273" s="23" t="s">
        <v>31</v>
      </c>
      <c r="L273" s="23" t="s">
        <v>31</v>
      </c>
      <c r="M273" s="23" t="s">
        <v>31</v>
      </c>
      <c r="N273" s="23" t="s">
        <v>31</v>
      </c>
      <c r="O273" s="23" t="s">
        <v>31</v>
      </c>
      <c r="P273" s="38" t="s">
        <v>31</v>
      </c>
      <c r="Q273" s="38" t="s">
        <v>31</v>
      </c>
      <c r="R273" s="38" t="s">
        <v>31</v>
      </c>
      <c r="S273" s="23" t="s">
        <v>31</v>
      </c>
      <c r="T273" s="23" t="s">
        <v>31</v>
      </c>
      <c r="U273" s="38" t="s">
        <v>31</v>
      </c>
      <c r="V273" s="23" t="s">
        <v>31</v>
      </c>
      <c r="W273" s="23" t="s">
        <v>31</v>
      </c>
      <c r="X273" s="23" t="s">
        <v>31</v>
      </c>
      <c r="Y273" s="38" t="s">
        <v>31</v>
      </c>
    </row>
    <row r="274" spans="1:25" hidden="1" x14ac:dyDescent="0.25">
      <c r="A274" s="37" t="s">
        <v>31</v>
      </c>
      <c r="B274" s="38" t="s">
        <v>31</v>
      </c>
      <c r="C274" s="38" t="s">
        <v>31</v>
      </c>
      <c r="D274" s="38" t="s">
        <v>31</v>
      </c>
      <c r="E274" s="38" t="s">
        <v>31</v>
      </c>
      <c r="F274" s="38" t="s">
        <v>31</v>
      </c>
      <c r="G274" s="23" t="s">
        <v>31</v>
      </c>
      <c r="H274" s="23" t="s">
        <v>31</v>
      </c>
      <c r="I274" s="23" t="s">
        <v>31</v>
      </c>
      <c r="J274" s="38" t="s">
        <v>31</v>
      </c>
      <c r="K274" s="23" t="s">
        <v>31</v>
      </c>
      <c r="L274" s="23" t="s">
        <v>31</v>
      </c>
      <c r="M274" s="23" t="s">
        <v>31</v>
      </c>
      <c r="N274" s="23" t="s">
        <v>31</v>
      </c>
      <c r="O274" s="23" t="s">
        <v>31</v>
      </c>
      <c r="P274" s="38" t="s">
        <v>31</v>
      </c>
      <c r="Q274" s="38" t="s">
        <v>31</v>
      </c>
      <c r="R274" s="38" t="s">
        <v>31</v>
      </c>
      <c r="S274" s="23" t="s">
        <v>31</v>
      </c>
      <c r="T274" s="23" t="s">
        <v>31</v>
      </c>
      <c r="U274" s="38" t="s">
        <v>31</v>
      </c>
      <c r="V274" s="23" t="s">
        <v>31</v>
      </c>
      <c r="W274" s="23" t="s">
        <v>31</v>
      </c>
      <c r="X274" s="23" t="s">
        <v>31</v>
      </c>
      <c r="Y274" s="38" t="s">
        <v>31</v>
      </c>
    </row>
    <row r="275" spans="1:25" hidden="1" x14ac:dyDescent="0.25">
      <c r="A275" s="37" t="s">
        <v>31</v>
      </c>
      <c r="B275" s="38" t="s">
        <v>31</v>
      </c>
      <c r="C275" s="38" t="s">
        <v>31</v>
      </c>
      <c r="D275" s="38" t="s">
        <v>31</v>
      </c>
      <c r="E275" s="38" t="s">
        <v>31</v>
      </c>
      <c r="F275" s="38" t="s">
        <v>31</v>
      </c>
      <c r="G275" s="23" t="s">
        <v>31</v>
      </c>
      <c r="H275" s="23" t="s">
        <v>31</v>
      </c>
      <c r="I275" s="23" t="s">
        <v>31</v>
      </c>
      <c r="J275" s="38" t="s">
        <v>31</v>
      </c>
      <c r="K275" s="23" t="s">
        <v>31</v>
      </c>
      <c r="L275" s="23" t="s">
        <v>31</v>
      </c>
      <c r="M275" s="23" t="s">
        <v>31</v>
      </c>
      <c r="N275" s="23" t="s">
        <v>31</v>
      </c>
      <c r="O275" s="23" t="s">
        <v>31</v>
      </c>
      <c r="P275" s="38" t="s">
        <v>31</v>
      </c>
      <c r="Q275" s="38" t="s">
        <v>31</v>
      </c>
      <c r="R275" s="38" t="s">
        <v>31</v>
      </c>
      <c r="S275" s="23" t="s">
        <v>31</v>
      </c>
      <c r="T275" s="23" t="s">
        <v>31</v>
      </c>
      <c r="U275" s="38" t="s">
        <v>31</v>
      </c>
      <c r="V275" s="23" t="s">
        <v>31</v>
      </c>
      <c r="W275" s="23" t="s">
        <v>31</v>
      </c>
      <c r="X275" s="23" t="s">
        <v>31</v>
      </c>
      <c r="Y275" s="38" t="s">
        <v>31</v>
      </c>
    </row>
    <row r="276" spans="1:25" hidden="1" x14ac:dyDescent="0.25">
      <c r="A276" s="37" t="s">
        <v>31</v>
      </c>
      <c r="B276" s="38" t="s">
        <v>31</v>
      </c>
      <c r="C276" s="38" t="s">
        <v>31</v>
      </c>
      <c r="D276" s="38" t="s">
        <v>31</v>
      </c>
      <c r="E276" s="38" t="s">
        <v>31</v>
      </c>
      <c r="F276" s="38" t="s">
        <v>31</v>
      </c>
      <c r="G276" s="23" t="s">
        <v>31</v>
      </c>
      <c r="H276" s="23" t="s">
        <v>31</v>
      </c>
      <c r="I276" s="23" t="s">
        <v>31</v>
      </c>
      <c r="J276" s="38" t="s">
        <v>31</v>
      </c>
      <c r="K276" s="23" t="s">
        <v>31</v>
      </c>
      <c r="L276" s="23" t="s">
        <v>31</v>
      </c>
      <c r="M276" s="23" t="s">
        <v>31</v>
      </c>
      <c r="N276" s="23" t="s">
        <v>31</v>
      </c>
      <c r="O276" s="23" t="s">
        <v>31</v>
      </c>
      <c r="P276" s="38" t="s">
        <v>31</v>
      </c>
      <c r="Q276" s="38" t="s">
        <v>31</v>
      </c>
      <c r="R276" s="38" t="s">
        <v>31</v>
      </c>
      <c r="S276" s="23" t="s">
        <v>31</v>
      </c>
      <c r="T276" s="23" t="s">
        <v>31</v>
      </c>
      <c r="U276" s="38" t="s">
        <v>31</v>
      </c>
      <c r="V276" s="23" t="s">
        <v>31</v>
      </c>
      <c r="W276" s="23" t="s">
        <v>31</v>
      </c>
      <c r="X276" s="23" t="s">
        <v>31</v>
      </c>
      <c r="Y276" s="38" t="s">
        <v>31</v>
      </c>
    </row>
    <row r="277" spans="1:25" hidden="1" x14ac:dyDescent="0.25">
      <c r="A277" s="37" t="s">
        <v>31</v>
      </c>
      <c r="B277" s="38" t="s">
        <v>31</v>
      </c>
      <c r="C277" s="38" t="s">
        <v>31</v>
      </c>
      <c r="D277" s="38" t="s">
        <v>31</v>
      </c>
      <c r="E277" s="38" t="s">
        <v>31</v>
      </c>
      <c r="F277" s="38" t="s">
        <v>31</v>
      </c>
      <c r="G277" s="23" t="s">
        <v>31</v>
      </c>
      <c r="H277" s="23" t="s">
        <v>31</v>
      </c>
      <c r="I277" s="23" t="s">
        <v>31</v>
      </c>
      <c r="J277" s="38" t="s">
        <v>31</v>
      </c>
      <c r="K277" s="23" t="s">
        <v>31</v>
      </c>
      <c r="L277" s="23" t="s">
        <v>31</v>
      </c>
      <c r="M277" s="23" t="s">
        <v>31</v>
      </c>
      <c r="N277" s="23" t="s">
        <v>31</v>
      </c>
      <c r="O277" s="23" t="s">
        <v>31</v>
      </c>
      <c r="P277" s="38" t="s">
        <v>31</v>
      </c>
      <c r="Q277" s="38" t="s">
        <v>31</v>
      </c>
      <c r="R277" s="38" t="s">
        <v>31</v>
      </c>
      <c r="S277" s="23" t="s">
        <v>31</v>
      </c>
      <c r="T277" s="23" t="s">
        <v>31</v>
      </c>
      <c r="U277" s="38" t="s">
        <v>31</v>
      </c>
      <c r="V277" s="23" t="s">
        <v>31</v>
      </c>
      <c r="W277" s="23" t="s">
        <v>31</v>
      </c>
      <c r="X277" s="23" t="s">
        <v>31</v>
      </c>
      <c r="Y277" s="38" t="s">
        <v>31</v>
      </c>
    </row>
    <row r="278" spans="1:25" hidden="1" x14ac:dyDescent="0.25">
      <c r="A278" s="37" t="s">
        <v>31</v>
      </c>
      <c r="B278" s="38" t="s">
        <v>31</v>
      </c>
      <c r="C278" s="38" t="s">
        <v>31</v>
      </c>
      <c r="D278" s="38" t="s">
        <v>31</v>
      </c>
      <c r="E278" s="38" t="s">
        <v>31</v>
      </c>
      <c r="F278" s="38" t="s">
        <v>31</v>
      </c>
      <c r="G278" s="23" t="s">
        <v>31</v>
      </c>
      <c r="H278" s="23" t="s">
        <v>31</v>
      </c>
      <c r="I278" s="23" t="s">
        <v>31</v>
      </c>
      <c r="J278" s="38" t="s">
        <v>31</v>
      </c>
      <c r="K278" s="23" t="s">
        <v>31</v>
      </c>
      <c r="L278" s="23" t="s">
        <v>31</v>
      </c>
      <c r="M278" s="23" t="s">
        <v>31</v>
      </c>
      <c r="N278" s="23" t="s">
        <v>31</v>
      </c>
      <c r="O278" s="23" t="s">
        <v>31</v>
      </c>
      <c r="P278" s="38" t="s">
        <v>31</v>
      </c>
      <c r="Q278" s="38" t="s">
        <v>31</v>
      </c>
      <c r="R278" s="38" t="s">
        <v>31</v>
      </c>
      <c r="S278" s="23" t="s">
        <v>31</v>
      </c>
      <c r="T278" s="23" t="s">
        <v>31</v>
      </c>
      <c r="U278" s="38" t="s">
        <v>31</v>
      </c>
      <c r="V278" s="23" t="s">
        <v>31</v>
      </c>
      <c r="W278" s="23" t="s">
        <v>31</v>
      </c>
      <c r="X278" s="23" t="s">
        <v>31</v>
      </c>
      <c r="Y278" s="38" t="s">
        <v>31</v>
      </c>
    </row>
    <row r="279" spans="1:25" hidden="1" x14ac:dyDescent="0.25">
      <c r="A279" s="37" t="s">
        <v>31</v>
      </c>
      <c r="B279" s="38" t="s">
        <v>31</v>
      </c>
      <c r="C279" s="38" t="s">
        <v>31</v>
      </c>
      <c r="D279" s="38" t="s">
        <v>31</v>
      </c>
      <c r="E279" s="38" t="s">
        <v>31</v>
      </c>
      <c r="F279" s="38" t="s">
        <v>31</v>
      </c>
      <c r="G279" s="23" t="s">
        <v>31</v>
      </c>
      <c r="H279" s="23" t="s">
        <v>31</v>
      </c>
      <c r="I279" s="23" t="s">
        <v>31</v>
      </c>
      <c r="J279" s="38" t="s">
        <v>31</v>
      </c>
      <c r="K279" s="23" t="s">
        <v>31</v>
      </c>
      <c r="L279" s="23" t="s">
        <v>31</v>
      </c>
      <c r="M279" s="23" t="s">
        <v>31</v>
      </c>
      <c r="N279" s="23" t="s">
        <v>31</v>
      </c>
      <c r="O279" s="23" t="s">
        <v>31</v>
      </c>
      <c r="P279" s="38" t="s">
        <v>31</v>
      </c>
      <c r="Q279" s="38" t="s">
        <v>31</v>
      </c>
      <c r="R279" s="38" t="s">
        <v>31</v>
      </c>
      <c r="S279" s="23" t="s">
        <v>31</v>
      </c>
      <c r="T279" s="23" t="s">
        <v>31</v>
      </c>
      <c r="U279" s="38" t="s">
        <v>31</v>
      </c>
      <c r="V279" s="23" t="s">
        <v>31</v>
      </c>
      <c r="W279" s="23" t="s">
        <v>31</v>
      </c>
      <c r="X279" s="23" t="s">
        <v>31</v>
      </c>
      <c r="Y279" s="38" t="s">
        <v>31</v>
      </c>
    </row>
    <row r="280" spans="1:25" hidden="1" x14ac:dyDescent="0.25">
      <c r="A280" s="37" t="s">
        <v>31</v>
      </c>
      <c r="B280" s="38" t="s">
        <v>31</v>
      </c>
      <c r="C280" s="38" t="s">
        <v>31</v>
      </c>
      <c r="D280" s="38" t="s">
        <v>31</v>
      </c>
      <c r="E280" s="38" t="s">
        <v>31</v>
      </c>
      <c r="F280" s="38" t="s">
        <v>31</v>
      </c>
      <c r="G280" s="23" t="s">
        <v>31</v>
      </c>
      <c r="H280" s="23" t="s">
        <v>31</v>
      </c>
      <c r="I280" s="23" t="s">
        <v>31</v>
      </c>
      <c r="J280" s="38" t="s">
        <v>31</v>
      </c>
      <c r="K280" s="23" t="s">
        <v>31</v>
      </c>
      <c r="L280" s="23" t="s">
        <v>31</v>
      </c>
      <c r="M280" s="23" t="s">
        <v>31</v>
      </c>
      <c r="N280" s="23" t="s">
        <v>31</v>
      </c>
      <c r="O280" s="23" t="s">
        <v>31</v>
      </c>
      <c r="P280" s="38" t="s">
        <v>31</v>
      </c>
      <c r="Q280" s="38" t="s">
        <v>31</v>
      </c>
      <c r="R280" s="38" t="s">
        <v>31</v>
      </c>
      <c r="S280" s="23" t="s">
        <v>31</v>
      </c>
      <c r="T280" s="23" t="s">
        <v>31</v>
      </c>
      <c r="U280" s="38" t="s">
        <v>31</v>
      </c>
      <c r="V280" s="23" t="s">
        <v>31</v>
      </c>
      <c r="W280" s="23" t="s">
        <v>31</v>
      </c>
      <c r="X280" s="23" t="s">
        <v>31</v>
      </c>
      <c r="Y280" s="38" t="s">
        <v>31</v>
      </c>
    </row>
    <row r="281" spans="1:25" hidden="1" x14ac:dyDescent="0.25">
      <c r="A281" s="37" t="s">
        <v>31</v>
      </c>
      <c r="B281" s="38" t="s">
        <v>31</v>
      </c>
      <c r="C281" s="38" t="s">
        <v>31</v>
      </c>
      <c r="D281" s="38" t="s">
        <v>31</v>
      </c>
      <c r="E281" s="38" t="s">
        <v>31</v>
      </c>
      <c r="F281" s="38" t="s">
        <v>31</v>
      </c>
      <c r="G281" s="23" t="s">
        <v>31</v>
      </c>
      <c r="H281" s="23" t="s">
        <v>31</v>
      </c>
      <c r="I281" s="23" t="s">
        <v>31</v>
      </c>
      <c r="J281" s="38" t="s">
        <v>31</v>
      </c>
      <c r="K281" s="23" t="s">
        <v>31</v>
      </c>
      <c r="L281" s="23" t="s">
        <v>31</v>
      </c>
      <c r="M281" s="23" t="s">
        <v>31</v>
      </c>
      <c r="N281" s="23" t="s">
        <v>31</v>
      </c>
      <c r="O281" s="23" t="s">
        <v>31</v>
      </c>
      <c r="P281" s="38" t="s">
        <v>31</v>
      </c>
      <c r="Q281" s="38" t="s">
        <v>31</v>
      </c>
      <c r="R281" s="38" t="s">
        <v>31</v>
      </c>
      <c r="S281" s="23" t="s">
        <v>31</v>
      </c>
      <c r="T281" s="23" t="s">
        <v>31</v>
      </c>
      <c r="U281" s="38" t="s">
        <v>31</v>
      </c>
      <c r="V281" s="23" t="s">
        <v>31</v>
      </c>
      <c r="W281" s="23" t="s">
        <v>31</v>
      </c>
      <c r="X281" s="23" t="s">
        <v>31</v>
      </c>
      <c r="Y281" s="38" t="s">
        <v>31</v>
      </c>
    </row>
    <row r="282" spans="1:25" hidden="1" x14ac:dyDescent="0.25">
      <c r="A282" s="37" t="s">
        <v>31</v>
      </c>
      <c r="B282" s="38" t="s">
        <v>31</v>
      </c>
      <c r="C282" s="38" t="s">
        <v>31</v>
      </c>
      <c r="D282" s="38" t="s">
        <v>31</v>
      </c>
      <c r="E282" s="38" t="s">
        <v>31</v>
      </c>
      <c r="F282" s="38" t="s">
        <v>31</v>
      </c>
      <c r="G282" s="23" t="s">
        <v>31</v>
      </c>
      <c r="H282" s="23" t="s">
        <v>31</v>
      </c>
      <c r="I282" s="23" t="s">
        <v>31</v>
      </c>
      <c r="J282" s="38" t="s">
        <v>31</v>
      </c>
      <c r="K282" s="23" t="s">
        <v>31</v>
      </c>
      <c r="L282" s="23" t="s">
        <v>31</v>
      </c>
      <c r="M282" s="23" t="s">
        <v>31</v>
      </c>
      <c r="N282" s="23" t="s">
        <v>31</v>
      </c>
      <c r="O282" s="23" t="s">
        <v>31</v>
      </c>
      <c r="P282" s="38" t="s">
        <v>31</v>
      </c>
      <c r="Q282" s="38" t="s">
        <v>31</v>
      </c>
      <c r="R282" s="38" t="s">
        <v>31</v>
      </c>
      <c r="S282" s="23" t="s">
        <v>31</v>
      </c>
      <c r="T282" s="23" t="s">
        <v>31</v>
      </c>
      <c r="U282" s="38" t="s">
        <v>31</v>
      </c>
      <c r="V282" s="23" t="s">
        <v>31</v>
      </c>
      <c r="W282" s="23" t="s">
        <v>31</v>
      </c>
      <c r="X282" s="23" t="s">
        <v>31</v>
      </c>
      <c r="Y282" s="38" t="s">
        <v>31</v>
      </c>
    </row>
    <row r="283" spans="1:25" hidden="1" x14ac:dyDescent="0.25">
      <c r="A283" s="37" t="s">
        <v>31</v>
      </c>
      <c r="B283" s="38" t="s">
        <v>31</v>
      </c>
      <c r="C283" s="38" t="s">
        <v>31</v>
      </c>
      <c r="D283" s="38" t="s">
        <v>31</v>
      </c>
      <c r="E283" s="38" t="s">
        <v>31</v>
      </c>
      <c r="F283" s="38" t="s">
        <v>31</v>
      </c>
      <c r="G283" s="23" t="s">
        <v>31</v>
      </c>
      <c r="H283" s="23" t="s">
        <v>31</v>
      </c>
      <c r="I283" s="23" t="s">
        <v>31</v>
      </c>
      <c r="J283" s="38" t="s">
        <v>31</v>
      </c>
      <c r="K283" s="23" t="s">
        <v>31</v>
      </c>
      <c r="L283" s="23" t="s">
        <v>31</v>
      </c>
      <c r="M283" s="23" t="s">
        <v>31</v>
      </c>
      <c r="N283" s="23" t="s">
        <v>31</v>
      </c>
      <c r="O283" s="23" t="s">
        <v>31</v>
      </c>
      <c r="P283" s="38" t="s">
        <v>31</v>
      </c>
      <c r="Q283" s="38" t="s">
        <v>31</v>
      </c>
      <c r="R283" s="38" t="s">
        <v>31</v>
      </c>
      <c r="S283" s="23" t="s">
        <v>31</v>
      </c>
      <c r="T283" s="23" t="s">
        <v>31</v>
      </c>
      <c r="U283" s="38" t="s">
        <v>31</v>
      </c>
      <c r="V283" s="23" t="s">
        <v>31</v>
      </c>
      <c r="W283" s="23" t="s">
        <v>31</v>
      </c>
      <c r="X283" s="23" t="s">
        <v>31</v>
      </c>
      <c r="Y283" s="38" t="s">
        <v>31</v>
      </c>
    </row>
    <row r="284" spans="1:25" hidden="1" x14ac:dyDescent="0.25">
      <c r="A284" s="37" t="s">
        <v>31</v>
      </c>
      <c r="B284" s="38" t="s">
        <v>31</v>
      </c>
      <c r="C284" s="38" t="s">
        <v>31</v>
      </c>
      <c r="D284" s="38" t="s">
        <v>31</v>
      </c>
      <c r="E284" s="38" t="s">
        <v>31</v>
      </c>
      <c r="F284" s="38" t="s">
        <v>31</v>
      </c>
      <c r="G284" s="23" t="s">
        <v>31</v>
      </c>
      <c r="H284" s="23" t="s">
        <v>31</v>
      </c>
      <c r="I284" s="23" t="s">
        <v>31</v>
      </c>
      <c r="J284" s="38" t="s">
        <v>31</v>
      </c>
      <c r="K284" s="23" t="s">
        <v>31</v>
      </c>
      <c r="L284" s="23" t="s">
        <v>31</v>
      </c>
      <c r="M284" s="23" t="s">
        <v>31</v>
      </c>
      <c r="N284" s="23" t="s">
        <v>31</v>
      </c>
      <c r="O284" s="23" t="s">
        <v>31</v>
      </c>
      <c r="P284" s="38" t="s">
        <v>31</v>
      </c>
      <c r="Q284" s="38" t="s">
        <v>31</v>
      </c>
      <c r="R284" s="38" t="s">
        <v>31</v>
      </c>
      <c r="S284" s="23" t="s">
        <v>31</v>
      </c>
      <c r="T284" s="23" t="s">
        <v>31</v>
      </c>
      <c r="U284" s="38" t="s">
        <v>31</v>
      </c>
      <c r="V284" s="23" t="s">
        <v>31</v>
      </c>
      <c r="W284" s="23" t="s">
        <v>31</v>
      </c>
      <c r="X284" s="23" t="s">
        <v>31</v>
      </c>
      <c r="Y284" s="38" t="s">
        <v>31</v>
      </c>
    </row>
    <row r="285" spans="1:25" hidden="1" x14ac:dyDescent="0.25">
      <c r="A285" s="37" t="s">
        <v>31</v>
      </c>
      <c r="B285" s="38" t="s">
        <v>31</v>
      </c>
      <c r="C285" s="38" t="s">
        <v>31</v>
      </c>
      <c r="D285" s="38" t="s">
        <v>31</v>
      </c>
      <c r="E285" s="38" t="s">
        <v>31</v>
      </c>
      <c r="F285" s="38" t="s">
        <v>31</v>
      </c>
      <c r="G285" s="23" t="s">
        <v>31</v>
      </c>
      <c r="H285" s="23" t="s">
        <v>31</v>
      </c>
      <c r="I285" s="23" t="s">
        <v>31</v>
      </c>
      <c r="J285" s="38" t="s">
        <v>31</v>
      </c>
      <c r="K285" s="23" t="s">
        <v>31</v>
      </c>
      <c r="L285" s="23" t="s">
        <v>31</v>
      </c>
      <c r="M285" s="23" t="s">
        <v>31</v>
      </c>
      <c r="N285" s="23" t="s">
        <v>31</v>
      </c>
      <c r="O285" s="23" t="s">
        <v>31</v>
      </c>
      <c r="P285" s="38" t="s">
        <v>31</v>
      </c>
      <c r="Q285" s="38" t="s">
        <v>31</v>
      </c>
      <c r="R285" s="38" t="s">
        <v>31</v>
      </c>
      <c r="S285" s="23" t="s">
        <v>31</v>
      </c>
      <c r="T285" s="23" t="s">
        <v>31</v>
      </c>
      <c r="U285" s="38" t="s">
        <v>31</v>
      </c>
      <c r="V285" s="23" t="s">
        <v>31</v>
      </c>
      <c r="W285" s="23" t="s">
        <v>31</v>
      </c>
      <c r="X285" s="23" t="s">
        <v>31</v>
      </c>
      <c r="Y285" s="38" t="s">
        <v>31</v>
      </c>
    </row>
    <row r="286" spans="1:25" hidden="1" x14ac:dyDescent="0.25">
      <c r="A286" s="37" t="s">
        <v>31</v>
      </c>
      <c r="B286" s="38" t="s">
        <v>31</v>
      </c>
      <c r="C286" s="38" t="s">
        <v>31</v>
      </c>
      <c r="D286" s="38" t="s">
        <v>31</v>
      </c>
      <c r="E286" s="38" t="s">
        <v>31</v>
      </c>
      <c r="F286" s="38" t="s">
        <v>31</v>
      </c>
      <c r="G286" s="23" t="s">
        <v>31</v>
      </c>
      <c r="H286" s="23" t="s">
        <v>31</v>
      </c>
      <c r="I286" s="23" t="s">
        <v>31</v>
      </c>
      <c r="J286" s="38" t="s">
        <v>31</v>
      </c>
      <c r="K286" s="23" t="s">
        <v>31</v>
      </c>
      <c r="L286" s="23" t="s">
        <v>31</v>
      </c>
      <c r="M286" s="23" t="s">
        <v>31</v>
      </c>
      <c r="N286" s="23" t="s">
        <v>31</v>
      </c>
      <c r="O286" s="23" t="s">
        <v>31</v>
      </c>
      <c r="P286" s="38" t="s">
        <v>31</v>
      </c>
      <c r="Q286" s="38" t="s">
        <v>31</v>
      </c>
      <c r="R286" s="38" t="s">
        <v>31</v>
      </c>
      <c r="S286" s="23" t="s">
        <v>31</v>
      </c>
      <c r="T286" s="23" t="s">
        <v>31</v>
      </c>
      <c r="U286" s="38" t="s">
        <v>31</v>
      </c>
      <c r="V286" s="23" t="s">
        <v>31</v>
      </c>
      <c r="W286" s="23" t="s">
        <v>31</v>
      </c>
      <c r="X286" s="23" t="s">
        <v>31</v>
      </c>
      <c r="Y286" s="38" t="s">
        <v>31</v>
      </c>
    </row>
    <row r="287" spans="1:25" hidden="1" x14ac:dyDescent="0.25">
      <c r="A287" s="37" t="s">
        <v>31</v>
      </c>
      <c r="B287" s="38" t="s">
        <v>31</v>
      </c>
      <c r="C287" s="38" t="s">
        <v>31</v>
      </c>
      <c r="D287" s="38" t="s">
        <v>31</v>
      </c>
      <c r="E287" s="38" t="s">
        <v>31</v>
      </c>
      <c r="F287" s="38" t="s">
        <v>31</v>
      </c>
      <c r="G287" s="23" t="s">
        <v>31</v>
      </c>
      <c r="H287" s="23" t="s">
        <v>31</v>
      </c>
      <c r="I287" s="23" t="s">
        <v>31</v>
      </c>
      <c r="J287" s="38" t="s">
        <v>31</v>
      </c>
      <c r="K287" s="23" t="s">
        <v>31</v>
      </c>
      <c r="L287" s="23" t="s">
        <v>31</v>
      </c>
      <c r="M287" s="23" t="s">
        <v>31</v>
      </c>
      <c r="N287" s="23" t="s">
        <v>31</v>
      </c>
      <c r="O287" s="23" t="s">
        <v>31</v>
      </c>
      <c r="P287" s="38" t="s">
        <v>31</v>
      </c>
      <c r="Q287" s="38" t="s">
        <v>31</v>
      </c>
      <c r="R287" s="38" t="s">
        <v>31</v>
      </c>
      <c r="S287" s="23" t="s">
        <v>31</v>
      </c>
      <c r="T287" s="23" t="s">
        <v>31</v>
      </c>
      <c r="U287" s="38" t="s">
        <v>31</v>
      </c>
      <c r="V287" s="23" t="s">
        <v>31</v>
      </c>
      <c r="W287" s="23" t="s">
        <v>31</v>
      </c>
      <c r="X287" s="23" t="s">
        <v>31</v>
      </c>
      <c r="Y287" s="38" t="s">
        <v>31</v>
      </c>
    </row>
    <row r="288" spans="1:25" hidden="1" x14ac:dyDescent="0.25">
      <c r="A288" s="37" t="s">
        <v>31</v>
      </c>
      <c r="B288" s="38" t="s">
        <v>31</v>
      </c>
      <c r="C288" s="38" t="s">
        <v>31</v>
      </c>
      <c r="D288" s="38" t="s">
        <v>31</v>
      </c>
      <c r="E288" s="38" t="s">
        <v>31</v>
      </c>
      <c r="F288" s="38" t="s">
        <v>31</v>
      </c>
      <c r="G288" s="23" t="s">
        <v>31</v>
      </c>
      <c r="H288" s="23" t="s">
        <v>31</v>
      </c>
      <c r="I288" s="23" t="s">
        <v>31</v>
      </c>
      <c r="J288" s="38" t="s">
        <v>31</v>
      </c>
      <c r="K288" s="23" t="s">
        <v>31</v>
      </c>
      <c r="L288" s="23" t="s">
        <v>31</v>
      </c>
      <c r="M288" s="23" t="s">
        <v>31</v>
      </c>
      <c r="N288" s="23" t="s">
        <v>31</v>
      </c>
      <c r="O288" s="23" t="s">
        <v>31</v>
      </c>
      <c r="P288" s="38" t="s">
        <v>31</v>
      </c>
      <c r="Q288" s="38" t="s">
        <v>31</v>
      </c>
      <c r="R288" s="38" t="s">
        <v>31</v>
      </c>
      <c r="S288" s="23" t="s">
        <v>31</v>
      </c>
      <c r="T288" s="23" t="s">
        <v>31</v>
      </c>
      <c r="U288" s="38" t="s">
        <v>31</v>
      </c>
      <c r="V288" s="23" t="s">
        <v>31</v>
      </c>
      <c r="W288" s="23" t="s">
        <v>31</v>
      </c>
      <c r="X288" s="23" t="s">
        <v>31</v>
      </c>
      <c r="Y288" s="38" t="s">
        <v>31</v>
      </c>
    </row>
    <row r="289" spans="1:25" hidden="1" x14ac:dyDescent="0.25">
      <c r="A289" s="37" t="s">
        <v>31</v>
      </c>
      <c r="B289" s="38" t="s">
        <v>31</v>
      </c>
      <c r="C289" s="38" t="s">
        <v>31</v>
      </c>
      <c r="D289" s="38" t="s">
        <v>31</v>
      </c>
      <c r="E289" s="38" t="s">
        <v>31</v>
      </c>
      <c r="F289" s="38" t="s">
        <v>31</v>
      </c>
      <c r="G289" s="23" t="s">
        <v>31</v>
      </c>
      <c r="H289" s="23" t="s">
        <v>31</v>
      </c>
      <c r="I289" s="23" t="s">
        <v>31</v>
      </c>
      <c r="J289" s="38" t="s">
        <v>31</v>
      </c>
      <c r="K289" s="23" t="s">
        <v>31</v>
      </c>
      <c r="L289" s="23" t="s">
        <v>31</v>
      </c>
      <c r="M289" s="23" t="s">
        <v>31</v>
      </c>
      <c r="N289" s="23" t="s">
        <v>31</v>
      </c>
      <c r="O289" s="23" t="s">
        <v>31</v>
      </c>
      <c r="P289" s="38" t="s">
        <v>31</v>
      </c>
      <c r="Q289" s="38" t="s">
        <v>31</v>
      </c>
      <c r="R289" s="38" t="s">
        <v>31</v>
      </c>
      <c r="S289" s="23" t="s">
        <v>31</v>
      </c>
      <c r="T289" s="23" t="s">
        <v>31</v>
      </c>
      <c r="U289" s="38" t="s">
        <v>31</v>
      </c>
      <c r="V289" s="23" t="s">
        <v>31</v>
      </c>
      <c r="W289" s="23" t="s">
        <v>31</v>
      </c>
      <c r="X289" s="23" t="s">
        <v>31</v>
      </c>
      <c r="Y289" s="38" t="s">
        <v>31</v>
      </c>
    </row>
    <row r="290" spans="1:25" hidden="1" x14ac:dyDescent="0.25">
      <c r="A290" s="37" t="s">
        <v>31</v>
      </c>
      <c r="B290" s="38" t="s">
        <v>31</v>
      </c>
      <c r="C290" s="38" t="s">
        <v>31</v>
      </c>
      <c r="D290" s="38" t="s">
        <v>31</v>
      </c>
      <c r="E290" s="38" t="s">
        <v>31</v>
      </c>
      <c r="F290" s="38" t="s">
        <v>31</v>
      </c>
      <c r="G290" s="23" t="s">
        <v>31</v>
      </c>
      <c r="H290" s="23" t="s">
        <v>31</v>
      </c>
      <c r="I290" s="23" t="s">
        <v>31</v>
      </c>
      <c r="J290" s="38" t="s">
        <v>31</v>
      </c>
      <c r="K290" s="23" t="s">
        <v>31</v>
      </c>
      <c r="L290" s="23" t="s">
        <v>31</v>
      </c>
      <c r="M290" s="23" t="s">
        <v>31</v>
      </c>
      <c r="N290" s="23" t="s">
        <v>31</v>
      </c>
      <c r="O290" s="23" t="s">
        <v>31</v>
      </c>
      <c r="P290" s="38" t="s">
        <v>31</v>
      </c>
      <c r="Q290" s="38" t="s">
        <v>31</v>
      </c>
      <c r="R290" s="38" t="s">
        <v>31</v>
      </c>
      <c r="S290" s="23" t="s">
        <v>31</v>
      </c>
      <c r="T290" s="23" t="s">
        <v>31</v>
      </c>
      <c r="U290" s="38" t="s">
        <v>31</v>
      </c>
      <c r="V290" s="23" t="s">
        <v>31</v>
      </c>
      <c r="W290" s="23" t="s">
        <v>31</v>
      </c>
      <c r="X290" s="23" t="s">
        <v>31</v>
      </c>
      <c r="Y290" s="38" t="s">
        <v>31</v>
      </c>
    </row>
    <row r="291" spans="1:25" hidden="1" x14ac:dyDescent="0.25">
      <c r="A291" s="37" t="s">
        <v>31</v>
      </c>
      <c r="B291" s="38" t="s">
        <v>31</v>
      </c>
      <c r="C291" s="38" t="s">
        <v>31</v>
      </c>
      <c r="D291" s="38" t="s">
        <v>31</v>
      </c>
      <c r="E291" s="38" t="s">
        <v>31</v>
      </c>
      <c r="F291" s="38" t="s">
        <v>31</v>
      </c>
      <c r="G291" s="23" t="s">
        <v>31</v>
      </c>
      <c r="H291" s="23" t="s">
        <v>31</v>
      </c>
      <c r="I291" s="23" t="s">
        <v>31</v>
      </c>
      <c r="J291" s="38" t="s">
        <v>31</v>
      </c>
      <c r="K291" s="23" t="s">
        <v>31</v>
      </c>
      <c r="L291" s="23" t="s">
        <v>31</v>
      </c>
      <c r="M291" s="23" t="s">
        <v>31</v>
      </c>
      <c r="N291" s="23" t="s">
        <v>31</v>
      </c>
      <c r="O291" s="23" t="s">
        <v>31</v>
      </c>
      <c r="P291" s="38" t="s">
        <v>31</v>
      </c>
      <c r="Q291" s="38" t="s">
        <v>31</v>
      </c>
      <c r="R291" s="38" t="s">
        <v>31</v>
      </c>
      <c r="S291" s="23" t="s">
        <v>31</v>
      </c>
      <c r="T291" s="23" t="s">
        <v>31</v>
      </c>
      <c r="U291" s="38" t="s">
        <v>31</v>
      </c>
      <c r="V291" s="23" t="s">
        <v>31</v>
      </c>
      <c r="W291" s="23" t="s">
        <v>31</v>
      </c>
      <c r="X291" s="23" t="s">
        <v>31</v>
      </c>
      <c r="Y291" s="38" t="s">
        <v>31</v>
      </c>
    </row>
    <row r="292" spans="1:25" hidden="1" x14ac:dyDescent="0.25">
      <c r="A292" s="37" t="s">
        <v>31</v>
      </c>
      <c r="B292" s="38" t="s">
        <v>31</v>
      </c>
      <c r="C292" s="38" t="s">
        <v>31</v>
      </c>
      <c r="D292" s="38" t="s">
        <v>31</v>
      </c>
      <c r="E292" s="38" t="s">
        <v>31</v>
      </c>
      <c r="F292" s="38" t="s">
        <v>31</v>
      </c>
      <c r="G292" s="23" t="s">
        <v>31</v>
      </c>
      <c r="H292" s="23" t="s">
        <v>31</v>
      </c>
      <c r="I292" s="23" t="s">
        <v>31</v>
      </c>
      <c r="J292" s="38" t="s">
        <v>31</v>
      </c>
      <c r="K292" s="23" t="s">
        <v>31</v>
      </c>
      <c r="L292" s="23" t="s">
        <v>31</v>
      </c>
      <c r="M292" s="23" t="s">
        <v>31</v>
      </c>
      <c r="N292" s="23" t="s">
        <v>31</v>
      </c>
      <c r="O292" s="23" t="s">
        <v>31</v>
      </c>
      <c r="P292" s="38" t="s">
        <v>31</v>
      </c>
      <c r="Q292" s="38" t="s">
        <v>31</v>
      </c>
      <c r="R292" s="38" t="s">
        <v>31</v>
      </c>
      <c r="S292" s="23" t="s">
        <v>31</v>
      </c>
      <c r="T292" s="23" t="s">
        <v>31</v>
      </c>
      <c r="U292" s="38" t="s">
        <v>31</v>
      </c>
      <c r="V292" s="23" t="s">
        <v>31</v>
      </c>
      <c r="W292" s="23" t="s">
        <v>31</v>
      </c>
      <c r="X292" s="23" t="s">
        <v>31</v>
      </c>
      <c r="Y292" s="38" t="s">
        <v>31</v>
      </c>
    </row>
    <row r="293" spans="1:25" hidden="1" x14ac:dyDescent="0.25">
      <c r="A293" s="37" t="s">
        <v>31</v>
      </c>
      <c r="B293" s="38" t="s">
        <v>31</v>
      </c>
      <c r="C293" s="38" t="s">
        <v>31</v>
      </c>
      <c r="D293" s="38" t="s">
        <v>31</v>
      </c>
      <c r="E293" s="38" t="s">
        <v>31</v>
      </c>
      <c r="F293" s="38" t="s">
        <v>31</v>
      </c>
      <c r="G293" s="23" t="s">
        <v>31</v>
      </c>
      <c r="H293" s="23" t="s">
        <v>31</v>
      </c>
      <c r="I293" s="23" t="s">
        <v>31</v>
      </c>
      <c r="J293" s="38" t="s">
        <v>31</v>
      </c>
      <c r="K293" s="23" t="s">
        <v>31</v>
      </c>
      <c r="L293" s="23" t="s">
        <v>31</v>
      </c>
      <c r="M293" s="23" t="s">
        <v>31</v>
      </c>
      <c r="N293" s="23" t="s">
        <v>31</v>
      </c>
      <c r="O293" s="23" t="s">
        <v>31</v>
      </c>
      <c r="P293" s="38" t="s">
        <v>31</v>
      </c>
      <c r="Q293" s="38" t="s">
        <v>31</v>
      </c>
      <c r="R293" s="38" t="s">
        <v>31</v>
      </c>
      <c r="S293" s="23" t="s">
        <v>31</v>
      </c>
      <c r="T293" s="23" t="s">
        <v>31</v>
      </c>
      <c r="U293" s="38" t="s">
        <v>31</v>
      </c>
      <c r="V293" s="23" t="s">
        <v>31</v>
      </c>
      <c r="W293" s="23" t="s">
        <v>31</v>
      </c>
      <c r="X293" s="23" t="s">
        <v>31</v>
      </c>
      <c r="Y293" s="38" t="s">
        <v>31</v>
      </c>
    </row>
    <row r="294" spans="1:25" hidden="1" x14ac:dyDescent="0.25">
      <c r="A294" s="37" t="s">
        <v>31</v>
      </c>
      <c r="B294" s="38" t="s">
        <v>31</v>
      </c>
      <c r="C294" s="38" t="s">
        <v>31</v>
      </c>
      <c r="D294" s="38" t="s">
        <v>31</v>
      </c>
      <c r="E294" s="38" t="s">
        <v>31</v>
      </c>
      <c r="F294" s="38" t="s">
        <v>31</v>
      </c>
      <c r="G294" s="23" t="s">
        <v>31</v>
      </c>
      <c r="H294" s="23" t="s">
        <v>31</v>
      </c>
      <c r="I294" s="23" t="s">
        <v>31</v>
      </c>
      <c r="J294" s="38" t="s">
        <v>31</v>
      </c>
      <c r="K294" s="23" t="s">
        <v>31</v>
      </c>
      <c r="L294" s="23" t="s">
        <v>31</v>
      </c>
      <c r="M294" s="23" t="s">
        <v>31</v>
      </c>
      <c r="N294" s="23" t="s">
        <v>31</v>
      </c>
      <c r="O294" s="23" t="s">
        <v>31</v>
      </c>
      <c r="P294" s="38" t="s">
        <v>31</v>
      </c>
      <c r="Q294" s="38" t="s">
        <v>31</v>
      </c>
      <c r="R294" s="38" t="s">
        <v>31</v>
      </c>
      <c r="S294" s="23" t="s">
        <v>31</v>
      </c>
      <c r="T294" s="23" t="s">
        <v>31</v>
      </c>
      <c r="U294" s="38" t="s">
        <v>31</v>
      </c>
      <c r="V294" s="23" t="s">
        <v>31</v>
      </c>
      <c r="W294" s="23" t="s">
        <v>31</v>
      </c>
      <c r="X294" s="23" t="s">
        <v>31</v>
      </c>
      <c r="Y294" s="38" t="s">
        <v>31</v>
      </c>
    </row>
    <row r="295" spans="1:25" hidden="1" x14ac:dyDescent="0.25">
      <c r="A295" s="37" t="s">
        <v>31</v>
      </c>
      <c r="B295" s="38" t="s">
        <v>31</v>
      </c>
      <c r="C295" s="38" t="s">
        <v>31</v>
      </c>
      <c r="D295" s="38" t="s">
        <v>31</v>
      </c>
      <c r="E295" s="38" t="s">
        <v>31</v>
      </c>
      <c r="F295" s="38" t="s">
        <v>31</v>
      </c>
      <c r="G295" s="23" t="s">
        <v>31</v>
      </c>
      <c r="H295" s="23" t="s">
        <v>31</v>
      </c>
      <c r="I295" s="23" t="s">
        <v>31</v>
      </c>
      <c r="J295" s="38" t="s">
        <v>31</v>
      </c>
      <c r="K295" s="23" t="s">
        <v>31</v>
      </c>
      <c r="L295" s="23" t="s">
        <v>31</v>
      </c>
      <c r="M295" s="23" t="s">
        <v>31</v>
      </c>
      <c r="N295" s="23" t="s">
        <v>31</v>
      </c>
      <c r="O295" s="23" t="s">
        <v>31</v>
      </c>
      <c r="P295" s="38" t="s">
        <v>31</v>
      </c>
      <c r="Q295" s="38" t="s">
        <v>31</v>
      </c>
      <c r="R295" s="38" t="s">
        <v>31</v>
      </c>
      <c r="S295" s="23" t="s">
        <v>31</v>
      </c>
      <c r="T295" s="23" t="s">
        <v>31</v>
      </c>
      <c r="U295" s="38" t="s">
        <v>31</v>
      </c>
      <c r="V295" s="23" t="s">
        <v>31</v>
      </c>
      <c r="W295" s="23" t="s">
        <v>31</v>
      </c>
      <c r="X295" s="23" t="s">
        <v>31</v>
      </c>
      <c r="Y295" s="38" t="s">
        <v>31</v>
      </c>
    </row>
    <row r="296" spans="1:25" hidden="1" x14ac:dyDescent="0.25">
      <c r="A296" s="37" t="s">
        <v>31</v>
      </c>
      <c r="B296" s="38" t="s">
        <v>31</v>
      </c>
      <c r="C296" s="38" t="s">
        <v>31</v>
      </c>
      <c r="D296" s="38" t="s">
        <v>31</v>
      </c>
      <c r="E296" s="38" t="s">
        <v>31</v>
      </c>
      <c r="F296" s="38" t="s">
        <v>31</v>
      </c>
      <c r="G296" s="23" t="s">
        <v>31</v>
      </c>
      <c r="H296" s="23" t="s">
        <v>31</v>
      </c>
      <c r="I296" s="23" t="s">
        <v>31</v>
      </c>
      <c r="J296" s="38" t="s">
        <v>31</v>
      </c>
      <c r="K296" s="23" t="s">
        <v>31</v>
      </c>
      <c r="L296" s="23" t="s">
        <v>31</v>
      </c>
      <c r="M296" s="23" t="s">
        <v>31</v>
      </c>
      <c r="N296" s="23" t="s">
        <v>31</v>
      </c>
      <c r="O296" s="23" t="s">
        <v>31</v>
      </c>
      <c r="P296" s="38" t="s">
        <v>31</v>
      </c>
      <c r="Q296" s="38" t="s">
        <v>31</v>
      </c>
      <c r="R296" s="38" t="s">
        <v>31</v>
      </c>
      <c r="S296" s="23" t="s">
        <v>31</v>
      </c>
      <c r="T296" s="23" t="s">
        <v>31</v>
      </c>
      <c r="U296" s="38" t="s">
        <v>31</v>
      </c>
      <c r="V296" s="23" t="s">
        <v>31</v>
      </c>
      <c r="W296" s="23" t="s">
        <v>31</v>
      </c>
      <c r="X296" s="23" t="s">
        <v>31</v>
      </c>
      <c r="Y296" s="38" t="s">
        <v>31</v>
      </c>
    </row>
    <row r="297" spans="1:25" hidden="1" x14ac:dyDescent="0.25">
      <c r="A297" s="37" t="s">
        <v>31</v>
      </c>
      <c r="B297" s="38" t="s">
        <v>31</v>
      </c>
      <c r="C297" s="38" t="s">
        <v>31</v>
      </c>
      <c r="D297" s="38" t="s">
        <v>31</v>
      </c>
      <c r="E297" s="38" t="s">
        <v>31</v>
      </c>
      <c r="F297" s="38" t="s">
        <v>31</v>
      </c>
      <c r="G297" s="23" t="s">
        <v>31</v>
      </c>
      <c r="H297" s="23" t="s">
        <v>31</v>
      </c>
      <c r="I297" s="23" t="s">
        <v>31</v>
      </c>
      <c r="J297" s="38" t="s">
        <v>31</v>
      </c>
      <c r="K297" s="23" t="s">
        <v>31</v>
      </c>
      <c r="L297" s="23" t="s">
        <v>31</v>
      </c>
      <c r="M297" s="23" t="s">
        <v>31</v>
      </c>
      <c r="N297" s="23" t="s">
        <v>31</v>
      </c>
      <c r="O297" s="23" t="s">
        <v>31</v>
      </c>
      <c r="P297" s="38" t="s">
        <v>31</v>
      </c>
      <c r="Q297" s="38" t="s">
        <v>31</v>
      </c>
      <c r="R297" s="38" t="s">
        <v>31</v>
      </c>
      <c r="S297" s="23" t="s">
        <v>31</v>
      </c>
      <c r="T297" s="23" t="s">
        <v>31</v>
      </c>
      <c r="U297" s="38" t="s">
        <v>31</v>
      </c>
      <c r="V297" s="23" t="s">
        <v>31</v>
      </c>
      <c r="W297" s="23" t="s">
        <v>31</v>
      </c>
      <c r="X297" s="23" t="s">
        <v>31</v>
      </c>
      <c r="Y297" s="38" t="s">
        <v>31</v>
      </c>
    </row>
    <row r="298" spans="1:25" hidden="1" x14ac:dyDescent="0.25">
      <c r="A298" s="37" t="s">
        <v>31</v>
      </c>
      <c r="B298" s="38" t="s">
        <v>31</v>
      </c>
      <c r="C298" s="38" t="s">
        <v>31</v>
      </c>
      <c r="D298" s="38" t="s">
        <v>31</v>
      </c>
      <c r="E298" s="38" t="s">
        <v>31</v>
      </c>
      <c r="F298" s="38" t="s">
        <v>31</v>
      </c>
      <c r="G298" s="23" t="s">
        <v>31</v>
      </c>
      <c r="H298" s="23" t="s">
        <v>31</v>
      </c>
      <c r="I298" s="23" t="s">
        <v>31</v>
      </c>
      <c r="J298" s="38" t="s">
        <v>31</v>
      </c>
      <c r="K298" s="23" t="s">
        <v>31</v>
      </c>
      <c r="L298" s="23" t="s">
        <v>31</v>
      </c>
      <c r="M298" s="23" t="s">
        <v>31</v>
      </c>
      <c r="N298" s="23" t="s">
        <v>31</v>
      </c>
      <c r="O298" s="23" t="s">
        <v>31</v>
      </c>
      <c r="P298" s="38" t="s">
        <v>31</v>
      </c>
      <c r="Q298" s="38" t="s">
        <v>31</v>
      </c>
      <c r="R298" s="38" t="s">
        <v>31</v>
      </c>
      <c r="S298" s="23" t="s">
        <v>31</v>
      </c>
      <c r="T298" s="23" t="s">
        <v>31</v>
      </c>
      <c r="U298" s="38" t="s">
        <v>31</v>
      </c>
      <c r="V298" s="23" t="s">
        <v>31</v>
      </c>
      <c r="W298" s="23" t="s">
        <v>31</v>
      </c>
      <c r="X298" s="23" t="s">
        <v>31</v>
      </c>
      <c r="Y298" s="38" t="s">
        <v>31</v>
      </c>
    </row>
    <row r="299" spans="1:25" hidden="1" x14ac:dyDescent="0.25">
      <c r="A299" s="37" t="s">
        <v>31</v>
      </c>
      <c r="B299" s="38" t="s">
        <v>31</v>
      </c>
      <c r="C299" s="38" t="s">
        <v>31</v>
      </c>
      <c r="D299" s="38" t="s">
        <v>31</v>
      </c>
      <c r="E299" s="38" t="s">
        <v>31</v>
      </c>
      <c r="F299" s="38" t="s">
        <v>31</v>
      </c>
      <c r="G299" s="23" t="s">
        <v>31</v>
      </c>
      <c r="H299" s="23" t="s">
        <v>31</v>
      </c>
      <c r="I299" s="23" t="s">
        <v>31</v>
      </c>
      <c r="J299" s="38" t="s">
        <v>31</v>
      </c>
      <c r="K299" s="23" t="s">
        <v>31</v>
      </c>
      <c r="L299" s="23" t="s">
        <v>31</v>
      </c>
      <c r="M299" s="23" t="s">
        <v>31</v>
      </c>
      <c r="N299" s="23" t="s">
        <v>31</v>
      </c>
      <c r="O299" s="23" t="s">
        <v>31</v>
      </c>
      <c r="P299" s="38" t="s">
        <v>31</v>
      </c>
      <c r="Q299" s="38" t="s">
        <v>31</v>
      </c>
      <c r="R299" s="38" t="s">
        <v>31</v>
      </c>
      <c r="S299" s="23" t="s">
        <v>31</v>
      </c>
      <c r="T299" s="23" t="s">
        <v>31</v>
      </c>
      <c r="U299" s="38" t="s">
        <v>31</v>
      </c>
      <c r="V299" s="23" t="s">
        <v>31</v>
      </c>
      <c r="W299" s="23" t="s">
        <v>31</v>
      </c>
      <c r="X299" s="23" t="s">
        <v>31</v>
      </c>
      <c r="Y299" s="38" t="s">
        <v>31</v>
      </c>
    </row>
    <row r="300" spans="1:25" hidden="1" x14ac:dyDescent="0.25">
      <c r="A300" s="37" t="s">
        <v>31</v>
      </c>
      <c r="B300" s="38" t="s">
        <v>31</v>
      </c>
      <c r="C300" s="38" t="s">
        <v>31</v>
      </c>
      <c r="D300" s="38" t="s">
        <v>31</v>
      </c>
      <c r="E300" s="38" t="s">
        <v>31</v>
      </c>
      <c r="F300" s="38" t="s">
        <v>31</v>
      </c>
      <c r="G300" s="23" t="s">
        <v>31</v>
      </c>
      <c r="H300" s="23" t="s">
        <v>31</v>
      </c>
      <c r="I300" s="23" t="s">
        <v>31</v>
      </c>
      <c r="J300" s="38" t="s">
        <v>31</v>
      </c>
      <c r="K300" s="23" t="s">
        <v>31</v>
      </c>
      <c r="L300" s="23" t="s">
        <v>31</v>
      </c>
      <c r="M300" s="23" t="s">
        <v>31</v>
      </c>
      <c r="N300" s="23" t="s">
        <v>31</v>
      </c>
      <c r="O300" s="23" t="s">
        <v>31</v>
      </c>
      <c r="P300" s="38" t="s">
        <v>31</v>
      </c>
      <c r="Q300" s="38" t="s">
        <v>31</v>
      </c>
      <c r="R300" s="38" t="s">
        <v>31</v>
      </c>
      <c r="S300" s="23" t="s">
        <v>31</v>
      </c>
      <c r="T300" s="23" t="s">
        <v>31</v>
      </c>
      <c r="U300" s="38" t="s">
        <v>31</v>
      </c>
      <c r="V300" s="23" t="s">
        <v>31</v>
      </c>
      <c r="W300" s="23" t="s">
        <v>31</v>
      </c>
      <c r="X300" s="23" t="s">
        <v>31</v>
      </c>
      <c r="Y300" s="38" t="s">
        <v>31</v>
      </c>
    </row>
    <row r="301" spans="1:25" hidden="1" x14ac:dyDescent="0.25">
      <c r="A301" s="37" t="s">
        <v>31</v>
      </c>
      <c r="B301" s="38" t="s">
        <v>31</v>
      </c>
      <c r="C301" s="38" t="s">
        <v>31</v>
      </c>
      <c r="D301" s="38" t="s">
        <v>31</v>
      </c>
      <c r="E301" s="38" t="s">
        <v>31</v>
      </c>
      <c r="F301" s="38" t="s">
        <v>31</v>
      </c>
      <c r="G301" s="23" t="s">
        <v>31</v>
      </c>
      <c r="H301" s="23" t="s">
        <v>31</v>
      </c>
      <c r="I301" s="23" t="s">
        <v>31</v>
      </c>
      <c r="J301" s="38" t="s">
        <v>31</v>
      </c>
      <c r="K301" s="23" t="s">
        <v>31</v>
      </c>
      <c r="L301" s="23" t="s">
        <v>31</v>
      </c>
      <c r="M301" s="23" t="s">
        <v>31</v>
      </c>
      <c r="N301" s="23" t="s">
        <v>31</v>
      </c>
      <c r="O301" s="23" t="s">
        <v>31</v>
      </c>
      <c r="P301" s="38" t="s">
        <v>31</v>
      </c>
      <c r="Q301" s="38" t="s">
        <v>31</v>
      </c>
      <c r="R301" s="38" t="s">
        <v>31</v>
      </c>
      <c r="S301" s="23" t="s">
        <v>31</v>
      </c>
      <c r="T301" s="23" t="s">
        <v>31</v>
      </c>
      <c r="U301" s="38" t="s">
        <v>31</v>
      </c>
      <c r="V301" s="23" t="s">
        <v>31</v>
      </c>
      <c r="W301" s="23" t="s">
        <v>31</v>
      </c>
      <c r="X301" s="23" t="s">
        <v>31</v>
      </c>
      <c r="Y301" s="38" t="s">
        <v>31</v>
      </c>
    </row>
    <row r="302" spans="1:25" hidden="1" x14ac:dyDescent="0.25">
      <c r="A302" s="37" t="s">
        <v>31</v>
      </c>
      <c r="B302" s="38" t="s">
        <v>31</v>
      </c>
      <c r="C302" s="38" t="s">
        <v>31</v>
      </c>
      <c r="D302" s="38" t="s">
        <v>31</v>
      </c>
      <c r="E302" s="38" t="s">
        <v>31</v>
      </c>
      <c r="F302" s="38" t="s">
        <v>31</v>
      </c>
      <c r="G302" s="23" t="s">
        <v>31</v>
      </c>
      <c r="H302" s="23" t="s">
        <v>31</v>
      </c>
      <c r="I302" s="23" t="s">
        <v>31</v>
      </c>
      <c r="J302" s="38" t="s">
        <v>31</v>
      </c>
      <c r="K302" s="23" t="s">
        <v>31</v>
      </c>
      <c r="L302" s="23" t="s">
        <v>31</v>
      </c>
      <c r="M302" s="23" t="s">
        <v>31</v>
      </c>
      <c r="N302" s="23" t="s">
        <v>31</v>
      </c>
      <c r="O302" s="23" t="s">
        <v>31</v>
      </c>
      <c r="P302" s="38" t="s">
        <v>31</v>
      </c>
      <c r="Q302" s="38" t="s">
        <v>31</v>
      </c>
      <c r="R302" s="38" t="s">
        <v>31</v>
      </c>
      <c r="S302" s="23" t="s">
        <v>31</v>
      </c>
      <c r="T302" s="23" t="s">
        <v>31</v>
      </c>
      <c r="U302" s="38" t="s">
        <v>31</v>
      </c>
      <c r="V302" s="23" t="s">
        <v>31</v>
      </c>
      <c r="W302" s="23" t="s">
        <v>31</v>
      </c>
      <c r="X302" s="23" t="s">
        <v>31</v>
      </c>
      <c r="Y302" s="38" t="s">
        <v>31</v>
      </c>
    </row>
    <row r="303" spans="1:25" hidden="1" x14ac:dyDescent="0.25">
      <c r="A303" s="37" t="s">
        <v>31</v>
      </c>
      <c r="B303" s="38" t="s">
        <v>31</v>
      </c>
      <c r="C303" s="38" t="s">
        <v>31</v>
      </c>
      <c r="D303" s="38" t="s">
        <v>31</v>
      </c>
      <c r="E303" s="38" t="s">
        <v>31</v>
      </c>
      <c r="F303" s="38" t="s">
        <v>31</v>
      </c>
      <c r="G303" s="23" t="s">
        <v>31</v>
      </c>
      <c r="H303" s="23" t="s">
        <v>31</v>
      </c>
      <c r="I303" s="23" t="s">
        <v>31</v>
      </c>
      <c r="J303" s="38" t="s">
        <v>31</v>
      </c>
      <c r="K303" s="23" t="s">
        <v>31</v>
      </c>
      <c r="L303" s="23" t="s">
        <v>31</v>
      </c>
      <c r="M303" s="23" t="s">
        <v>31</v>
      </c>
      <c r="N303" s="23" t="s">
        <v>31</v>
      </c>
      <c r="O303" s="23" t="s">
        <v>31</v>
      </c>
      <c r="P303" s="38" t="s">
        <v>31</v>
      </c>
      <c r="Q303" s="38" t="s">
        <v>31</v>
      </c>
      <c r="R303" s="38" t="s">
        <v>31</v>
      </c>
      <c r="S303" s="23" t="s">
        <v>31</v>
      </c>
      <c r="T303" s="23" t="s">
        <v>31</v>
      </c>
      <c r="U303" s="38" t="s">
        <v>31</v>
      </c>
      <c r="V303" s="23" t="s">
        <v>31</v>
      </c>
      <c r="W303" s="23" t="s">
        <v>31</v>
      </c>
      <c r="X303" s="23" t="s">
        <v>31</v>
      </c>
      <c r="Y303" s="38" t="s">
        <v>31</v>
      </c>
    </row>
    <row r="304" spans="1:25" hidden="1" x14ac:dyDescent="0.25">
      <c r="A304" s="37" t="s">
        <v>31</v>
      </c>
      <c r="B304" s="38" t="s">
        <v>31</v>
      </c>
      <c r="C304" s="38" t="s">
        <v>31</v>
      </c>
      <c r="D304" s="38" t="s">
        <v>31</v>
      </c>
      <c r="E304" s="38" t="s">
        <v>31</v>
      </c>
      <c r="F304" s="38" t="s">
        <v>31</v>
      </c>
      <c r="G304" s="23" t="s">
        <v>31</v>
      </c>
      <c r="H304" s="23" t="s">
        <v>31</v>
      </c>
      <c r="I304" s="23" t="s">
        <v>31</v>
      </c>
      <c r="J304" s="38" t="s">
        <v>31</v>
      </c>
      <c r="K304" s="23" t="s">
        <v>31</v>
      </c>
      <c r="L304" s="23" t="s">
        <v>31</v>
      </c>
      <c r="M304" s="23" t="s">
        <v>31</v>
      </c>
      <c r="N304" s="23" t="s">
        <v>31</v>
      </c>
      <c r="O304" s="23" t="s">
        <v>31</v>
      </c>
      <c r="P304" s="38" t="s">
        <v>31</v>
      </c>
      <c r="Q304" s="38" t="s">
        <v>31</v>
      </c>
      <c r="R304" s="38" t="s">
        <v>31</v>
      </c>
      <c r="S304" s="23" t="s">
        <v>31</v>
      </c>
      <c r="T304" s="23" t="s">
        <v>31</v>
      </c>
      <c r="U304" s="38" t="s">
        <v>31</v>
      </c>
      <c r="V304" s="23" t="s">
        <v>31</v>
      </c>
      <c r="W304" s="23" t="s">
        <v>31</v>
      </c>
      <c r="X304" s="23" t="s">
        <v>31</v>
      </c>
      <c r="Y304" s="38" t="s">
        <v>31</v>
      </c>
    </row>
    <row r="305" spans="1:25" hidden="1" x14ac:dyDescent="0.25">
      <c r="A305" s="37" t="s">
        <v>31</v>
      </c>
      <c r="B305" s="38" t="s">
        <v>31</v>
      </c>
      <c r="C305" s="38" t="s">
        <v>31</v>
      </c>
      <c r="D305" s="38" t="s">
        <v>31</v>
      </c>
      <c r="E305" s="38" t="s">
        <v>31</v>
      </c>
      <c r="F305" s="38" t="s">
        <v>31</v>
      </c>
      <c r="G305" s="23" t="s">
        <v>31</v>
      </c>
      <c r="H305" s="23" t="s">
        <v>31</v>
      </c>
      <c r="I305" s="23" t="s">
        <v>31</v>
      </c>
      <c r="J305" s="38" t="s">
        <v>31</v>
      </c>
      <c r="K305" s="23" t="s">
        <v>31</v>
      </c>
      <c r="L305" s="23" t="s">
        <v>31</v>
      </c>
      <c r="M305" s="23" t="s">
        <v>31</v>
      </c>
      <c r="N305" s="23" t="s">
        <v>31</v>
      </c>
      <c r="O305" s="23" t="s">
        <v>31</v>
      </c>
      <c r="P305" s="38" t="s">
        <v>31</v>
      </c>
      <c r="Q305" s="38" t="s">
        <v>31</v>
      </c>
      <c r="R305" s="38" t="s">
        <v>31</v>
      </c>
      <c r="S305" s="23" t="s">
        <v>31</v>
      </c>
      <c r="T305" s="23" t="s">
        <v>31</v>
      </c>
      <c r="U305" s="38" t="s">
        <v>31</v>
      </c>
      <c r="V305" s="23" t="s">
        <v>31</v>
      </c>
      <c r="W305" s="23" t="s">
        <v>31</v>
      </c>
      <c r="X305" s="23" t="s">
        <v>31</v>
      </c>
      <c r="Y305" s="38" t="s">
        <v>31</v>
      </c>
    </row>
    <row r="306" spans="1:25" hidden="1" x14ac:dyDescent="0.25">
      <c r="A306" s="37" t="s">
        <v>31</v>
      </c>
      <c r="B306" s="38" t="s">
        <v>31</v>
      </c>
      <c r="C306" s="38" t="s">
        <v>31</v>
      </c>
      <c r="D306" s="38" t="s">
        <v>31</v>
      </c>
      <c r="E306" s="38" t="s">
        <v>31</v>
      </c>
      <c r="F306" s="38" t="s">
        <v>31</v>
      </c>
      <c r="G306" s="23" t="s">
        <v>31</v>
      </c>
      <c r="H306" s="23" t="s">
        <v>31</v>
      </c>
      <c r="I306" s="23" t="s">
        <v>31</v>
      </c>
      <c r="J306" s="38" t="s">
        <v>31</v>
      </c>
      <c r="K306" s="23" t="s">
        <v>31</v>
      </c>
      <c r="L306" s="23" t="s">
        <v>31</v>
      </c>
      <c r="M306" s="23" t="s">
        <v>31</v>
      </c>
      <c r="N306" s="23" t="s">
        <v>31</v>
      </c>
      <c r="O306" s="23" t="s">
        <v>31</v>
      </c>
      <c r="P306" s="38" t="s">
        <v>31</v>
      </c>
      <c r="Q306" s="38" t="s">
        <v>31</v>
      </c>
      <c r="R306" s="38" t="s">
        <v>31</v>
      </c>
      <c r="S306" s="23" t="s">
        <v>31</v>
      </c>
      <c r="T306" s="23" t="s">
        <v>31</v>
      </c>
      <c r="U306" s="38" t="s">
        <v>31</v>
      </c>
      <c r="V306" s="23" t="s">
        <v>31</v>
      </c>
      <c r="W306" s="23" t="s">
        <v>31</v>
      </c>
      <c r="X306" s="23" t="s">
        <v>31</v>
      </c>
      <c r="Y306" s="38" t="s">
        <v>31</v>
      </c>
    </row>
    <row r="307" spans="1:25" hidden="1" x14ac:dyDescent="0.25">
      <c r="A307" s="37" t="s">
        <v>31</v>
      </c>
      <c r="B307" s="38" t="s">
        <v>31</v>
      </c>
      <c r="C307" s="38" t="s">
        <v>31</v>
      </c>
      <c r="D307" s="38" t="s">
        <v>31</v>
      </c>
      <c r="E307" s="38" t="s">
        <v>31</v>
      </c>
      <c r="F307" s="38" t="s">
        <v>31</v>
      </c>
      <c r="G307" s="23" t="s">
        <v>31</v>
      </c>
      <c r="H307" s="23" t="s">
        <v>31</v>
      </c>
      <c r="I307" s="23" t="s">
        <v>31</v>
      </c>
      <c r="J307" s="38" t="s">
        <v>31</v>
      </c>
      <c r="K307" s="23" t="s">
        <v>31</v>
      </c>
      <c r="L307" s="23" t="s">
        <v>31</v>
      </c>
      <c r="M307" s="23" t="s">
        <v>31</v>
      </c>
      <c r="N307" s="23" t="s">
        <v>31</v>
      </c>
      <c r="O307" s="23" t="s">
        <v>31</v>
      </c>
      <c r="P307" s="38" t="s">
        <v>31</v>
      </c>
      <c r="Q307" s="38" t="s">
        <v>31</v>
      </c>
      <c r="R307" s="38" t="s">
        <v>31</v>
      </c>
      <c r="S307" s="23" t="s">
        <v>31</v>
      </c>
      <c r="T307" s="23" t="s">
        <v>31</v>
      </c>
      <c r="U307" s="38" t="s">
        <v>31</v>
      </c>
      <c r="V307" s="23" t="s">
        <v>31</v>
      </c>
      <c r="W307" s="23" t="s">
        <v>31</v>
      </c>
      <c r="X307" s="23" t="s">
        <v>31</v>
      </c>
      <c r="Y307" s="38" t="s">
        <v>31</v>
      </c>
    </row>
    <row r="308" spans="1:25" hidden="1" x14ac:dyDescent="0.25">
      <c r="A308" s="37" t="s">
        <v>31</v>
      </c>
      <c r="B308" s="38" t="s">
        <v>31</v>
      </c>
      <c r="C308" s="38" t="s">
        <v>31</v>
      </c>
      <c r="D308" s="38" t="s">
        <v>31</v>
      </c>
      <c r="E308" s="38" t="s">
        <v>31</v>
      </c>
      <c r="F308" s="38" t="s">
        <v>31</v>
      </c>
      <c r="G308" s="23" t="s">
        <v>31</v>
      </c>
      <c r="H308" s="23" t="s">
        <v>31</v>
      </c>
      <c r="I308" s="23" t="s">
        <v>31</v>
      </c>
      <c r="J308" s="38" t="s">
        <v>31</v>
      </c>
      <c r="K308" s="23" t="s">
        <v>31</v>
      </c>
      <c r="L308" s="23" t="s">
        <v>31</v>
      </c>
      <c r="M308" s="23" t="s">
        <v>31</v>
      </c>
      <c r="N308" s="23" t="s">
        <v>31</v>
      </c>
      <c r="O308" s="23" t="s">
        <v>31</v>
      </c>
      <c r="P308" s="38" t="s">
        <v>31</v>
      </c>
      <c r="Q308" s="38" t="s">
        <v>31</v>
      </c>
      <c r="R308" s="38" t="s">
        <v>31</v>
      </c>
      <c r="S308" s="23" t="s">
        <v>31</v>
      </c>
      <c r="T308" s="23" t="s">
        <v>31</v>
      </c>
      <c r="U308" s="38" t="s">
        <v>31</v>
      </c>
      <c r="V308" s="23" t="s">
        <v>31</v>
      </c>
      <c r="W308" s="23" t="s">
        <v>31</v>
      </c>
      <c r="X308" s="23" t="s">
        <v>31</v>
      </c>
      <c r="Y308" s="38" t="s">
        <v>31</v>
      </c>
    </row>
    <row r="309" spans="1:25" hidden="1" x14ac:dyDescent="0.25">
      <c r="A309" s="37" t="s">
        <v>31</v>
      </c>
      <c r="B309" s="38" t="s">
        <v>31</v>
      </c>
      <c r="C309" s="38" t="s">
        <v>31</v>
      </c>
      <c r="D309" s="38" t="s">
        <v>31</v>
      </c>
      <c r="E309" s="38" t="s">
        <v>31</v>
      </c>
      <c r="F309" s="38" t="s">
        <v>31</v>
      </c>
      <c r="G309" s="23" t="s">
        <v>31</v>
      </c>
      <c r="H309" s="23" t="s">
        <v>31</v>
      </c>
      <c r="I309" s="23" t="s">
        <v>31</v>
      </c>
      <c r="J309" s="38" t="s">
        <v>31</v>
      </c>
      <c r="K309" s="23" t="s">
        <v>31</v>
      </c>
      <c r="L309" s="23" t="s">
        <v>31</v>
      </c>
      <c r="M309" s="23" t="s">
        <v>31</v>
      </c>
      <c r="N309" s="23" t="s">
        <v>31</v>
      </c>
      <c r="O309" s="23" t="s">
        <v>31</v>
      </c>
      <c r="P309" s="38" t="s">
        <v>31</v>
      </c>
      <c r="Q309" s="38" t="s">
        <v>31</v>
      </c>
      <c r="R309" s="38" t="s">
        <v>31</v>
      </c>
      <c r="S309" s="23" t="s">
        <v>31</v>
      </c>
      <c r="T309" s="23" t="s">
        <v>31</v>
      </c>
      <c r="U309" s="38" t="s">
        <v>31</v>
      </c>
      <c r="V309" s="23" t="s">
        <v>31</v>
      </c>
      <c r="W309" s="23" t="s">
        <v>31</v>
      </c>
      <c r="X309" s="23" t="s">
        <v>31</v>
      </c>
      <c r="Y309" s="38" t="s">
        <v>31</v>
      </c>
    </row>
    <row r="310" spans="1:25" hidden="1" x14ac:dyDescent="0.25">
      <c r="A310" s="37" t="s">
        <v>31</v>
      </c>
      <c r="B310" s="38" t="s">
        <v>31</v>
      </c>
      <c r="C310" s="38" t="s">
        <v>31</v>
      </c>
      <c r="D310" s="38" t="s">
        <v>31</v>
      </c>
      <c r="E310" s="38" t="s">
        <v>31</v>
      </c>
      <c r="F310" s="38" t="s">
        <v>31</v>
      </c>
      <c r="G310" s="23" t="s">
        <v>31</v>
      </c>
      <c r="H310" s="23" t="s">
        <v>31</v>
      </c>
      <c r="I310" s="23" t="s">
        <v>31</v>
      </c>
      <c r="J310" s="38" t="s">
        <v>31</v>
      </c>
      <c r="K310" s="23" t="s">
        <v>31</v>
      </c>
      <c r="L310" s="23" t="s">
        <v>31</v>
      </c>
      <c r="M310" s="23" t="s">
        <v>31</v>
      </c>
      <c r="N310" s="23" t="s">
        <v>31</v>
      </c>
      <c r="O310" s="23" t="s">
        <v>31</v>
      </c>
      <c r="P310" s="38" t="s">
        <v>31</v>
      </c>
      <c r="Q310" s="38" t="s">
        <v>31</v>
      </c>
      <c r="R310" s="38" t="s">
        <v>31</v>
      </c>
      <c r="S310" s="23" t="s">
        <v>31</v>
      </c>
      <c r="T310" s="23" t="s">
        <v>31</v>
      </c>
      <c r="U310" s="38" t="s">
        <v>31</v>
      </c>
      <c r="V310" s="23" t="s">
        <v>31</v>
      </c>
      <c r="W310" s="23" t="s">
        <v>31</v>
      </c>
      <c r="X310" s="23" t="s">
        <v>31</v>
      </c>
      <c r="Y310" s="38" t="s">
        <v>31</v>
      </c>
    </row>
    <row r="311" spans="1:25" hidden="1" x14ac:dyDescent="0.25">
      <c r="A311" s="37" t="s">
        <v>31</v>
      </c>
      <c r="B311" s="38" t="s">
        <v>31</v>
      </c>
      <c r="C311" s="38" t="s">
        <v>31</v>
      </c>
      <c r="D311" s="38" t="s">
        <v>31</v>
      </c>
      <c r="E311" s="38" t="s">
        <v>31</v>
      </c>
      <c r="F311" s="38" t="s">
        <v>31</v>
      </c>
      <c r="G311" s="23" t="s">
        <v>31</v>
      </c>
      <c r="H311" s="23" t="s">
        <v>31</v>
      </c>
      <c r="I311" s="23" t="s">
        <v>31</v>
      </c>
      <c r="J311" s="38" t="s">
        <v>31</v>
      </c>
      <c r="K311" s="23" t="s">
        <v>31</v>
      </c>
      <c r="L311" s="23" t="s">
        <v>31</v>
      </c>
      <c r="M311" s="23" t="s">
        <v>31</v>
      </c>
      <c r="N311" s="23" t="s">
        <v>31</v>
      </c>
      <c r="O311" s="23" t="s">
        <v>31</v>
      </c>
      <c r="P311" s="38" t="s">
        <v>31</v>
      </c>
      <c r="Q311" s="38" t="s">
        <v>31</v>
      </c>
      <c r="R311" s="38" t="s">
        <v>31</v>
      </c>
      <c r="S311" s="23" t="s">
        <v>31</v>
      </c>
      <c r="T311" s="23" t="s">
        <v>31</v>
      </c>
      <c r="U311" s="38" t="s">
        <v>31</v>
      </c>
      <c r="V311" s="23" t="s">
        <v>31</v>
      </c>
      <c r="W311" s="23" t="s">
        <v>31</v>
      </c>
      <c r="X311" s="23" t="s">
        <v>31</v>
      </c>
      <c r="Y311" s="38" t="s">
        <v>31</v>
      </c>
    </row>
    <row r="312" spans="1:25" hidden="1" x14ac:dyDescent="0.25">
      <c r="A312" s="37" t="s">
        <v>31</v>
      </c>
      <c r="B312" s="38" t="s">
        <v>31</v>
      </c>
      <c r="C312" s="38" t="s">
        <v>31</v>
      </c>
      <c r="D312" s="38" t="s">
        <v>31</v>
      </c>
      <c r="E312" s="38" t="s">
        <v>31</v>
      </c>
      <c r="F312" s="38" t="s">
        <v>31</v>
      </c>
      <c r="G312" s="23" t="s">
        <v>31</v>
      </c>
      <c r="H312" s="23" t="s">
        <v>31</v>
      </c>
      <c r="I312" s="23" t="s">
        <v>31</v>
      </c>
      <c r="J312" s="38" t="s">
        <v>31</v>
      </c>
      <c r="K312" s="23" t="s">
        <v>31</v>
      </c>
      <c r="L312" s="23" t="s">
        <v>31</v>
      </c>
      <c r="M312" s="23" t="s">
        <v>31</v>
      </c>
      <c r="N312" s="23" t="s">
        <v>31</v>
      </c>
      <c r="O312" s="23" t="s">
        <v>31</v>
      </c>
      <c r="P312" s="38" t="s">
        <v>31</v>
      </c>
      <c r="Q312" s="38" t="s">
        <v>31</v>
      </c>
      <c r="R312" s="38" t="s">
        <v>31</v>
      </c>
      <c r="S312" s="23" t="s">
        <v>31</v>
      </c>
      <c r="T312" s="23" t="s">
        <v>31</v>
      </c>
      <c r="U312" s="38" t="s">
        <v>31</v>
      </c>
      <c r="V312" s="23" t="s">
        <v>31</v>
      </c>
      <c r="W312" s="23" t="s">
        <v>31</v>
      </c>
      <c r="X312" s="23" t="s">
        <v>31</v>
      </c>
      <c r="Y312" s="38" t="s">
        <v>31</v>
      </c>
    </row>
    <row r="313" spans="1:25" hidden="1" x14ac:dyDescent="0.25">
      <c r="A313" s="37" t="s">
        <v>31</v>
      </c>
      <c r="B313" s="38" t="s">
        <v>31</v>
      </c>
      <c r="C313" s="38" t="s">
        <v>31</v>
      </c>
      <c r="D313" s="38" t="s">
        <v>31</v>
      </c>
      <c r="E313" s="38" t="s">
        <v>31</v>
      </c>
      <c r="F313" s="38" t="s">
        <v>31</v>
      </c>
      <c r="G313" s="23" t="s">
        <v>31</v>
      </c>
      <c r="H313" s="23" t="s">
        <v>31</v>
      </c>
      <c r="I313" s="23" t="s">
        <v>31</v>
      </c>
      <c r="J313" s="38" t="s">
        <v>31</v>
      </c>
      <c r="K313" s="23" t="s">
        <v>31</v>
      </c>
      <c r="L313" s="23" t="s">
        <v>31</v>
      </c>
      <c r="M313" s="23" t="s">
        <v>31</v>
      </c>
      <c r="N313" s="23" t="s">
        <v>31</v>
      </c>
      <c r="O313" s="23" t="s">
        <v>31</v>
      </c>
      <c r="P313" s="38" t="s">
        <v>31</v>
      </c>
      <c r="Q313" s="38" t="s">
        <v>31</v>
      </c>
      <c r="R313" s="38" t="s">
        <v>31</v>
      </c>
      <c r="S313" s="23" t="s">
        <v>31</v>
      </c>
      <c r="T313" s="23" t="s">
        <v>31</v>
      </c>
      <c r="U313" s="38" t="s">
        <v>31</v>
      </c>
      <c r="V313" s="23" t="s">
        <v>31</v>
      </c>
      <c r="W313" s="23" t="s">
        <v>31</v>
      </c>
      <c r="X313" s="23" t="s">
        <v>31</v>
      </c>
      <c r="Y313" s="38" t="s">
        <v>31</v>
      </c>
    </row>
    <row r="314" spans="1:25" hidden="1" x14ac:dyDescent="0.25">
      <c r="A314" s="37" t="s">
        <v>31</v>
      </c>
      <c r="B314" s="38" t="s">
        <v>31</v>
      </c>
      <c r="C314" s="38" t="s">
        <v>31</v>
      </c>
      <c r="D314" s="38" t="s">
        <v>31</v>
      </c>
      <c r="E314" s="38" t="s">
        <v>31</v>
      </c>
      <c r="F314" s="38" t="s">
        <v>31</v>
      </c>
      <c r="G314" s="23" t="s">
        <v>31</v>
      </c>
      <c r="H314" s="23" t="s">
        <v>31</v>
      </c>
      <c r="I314" s="23" t="s">
        <v>31</v>
      </c>
      <c r="J314" s="38" t="s">
        <v>31</v>
      </c>
      <c r="K314" s="23" t="s">
        <v>31</v>
      </c>
      <c r="L314" s="23" t="s">
        <v>31</v>
      </c>
      <c r="M314" s="23" t="s">
        <v>31</v>
      </c>
      <c r="N314" s="23" t="s">
        <v>31</v>
      </c>
      <c r="O314" s="23" t="s">
        <v>31</v>
      </c>
      <c r="P314" s="38" t="s">
        <v>31</v>
      </c>
      <c r="Q314" s="38" t="s">
        <v>31</v>
      </c>
      <c r="R314" s="38" t="s">
        <v>31</v>
      </c>
      <c r="S314" s="23" t="s">
        <v>31</v>
      </c>
      <c r="T314" s="23" t="s">
        <v>31</v>
      </c>
      <c r="U314" s="38" t="s">
        <v>31</v>
      </c>
      <c r="V314" s="23" t="s">
        <v>31</v>
      </c>
      <c r="W314" s="23" t="s">
        <v>31</v>
      </c>
      <c r="X314" s="23" t="s">
        <v>31</v>
      </c>
      <c r="Y314" s="38" t="s">
        <v>31</v>
      </c>
    </row>
    <row r="315" spans="1:25" hidden="1" x14ac:dyDescent="0.25">
      <c r="A315" s="37" t="s">
        <v>31</v>
      </c>
      <c r="B315" s="38" t="s">
        <v>31</v>
      </c>
      <c r="C315" s="38" t="s">
        <v>31</v>
      </c>
      <c r="D315" s="38" t="s">
        <v>31</v>
      </c>
      <c r="E315" s="38" t="s">
        <v>31</v>
      </c>
      <c r="F315" s="38" t="s">
        <v>31</v>
      </c>
      <c r="G315" s="23" t="s">
        <v>31</v>
      </c>
      <c r="H315" s="23" t="s">
        <v>31</v>
      </c>
      <c r="I315" s="23" t="s">
        <v>31</v>
      </c>
      <c r="J315" s="38" t="s">
        <v>31</v>
      </c>
      <c r="K315" s="23" t="s">
        <v>31</v>
      </c>
      <c r="L315" s="23" t="s">
        <v>31</v>
      </c>
      <c r="M315" s="23" t="s">
        <v>31</v>
      </c>
      <c r="N315" s="23" t="s">
        <v>31</v>
      </c>
      <c r="O315" s="23" t="s">
        <v>31</v>
      </c>
      <c r="P315" s="38" t="s">
        <v>31</v>
      </c>
      <c r="Q315" s="38" t="s">
        <v>31</v>
      </c>
      <c r="R315" s="38" t="s">
        <v>31</v>
      </c>
      <c r="S315" s="23" t="s">
        <v>31</v>
      </c>
      <c r="T315" s="23" t="s">
        <v>31</v>
      </c>
      <c r="U315" s="38" t="s">
        <v>31</v>
      </c>
      <c r="V315" s="23" t="s">
        <v>31</v>
      </c>
      <c r="W315" s="23" t="s">
        <v>31</v>
      </c>
      <c r="X315" s="23" t="s">
        <v>31</v>
      </c>
      <c r="Y315" s="38" t="s">
        <v>31</v>
      </c>
    </row>
    <row r="316" spans="1:25" hidden="1" x14ac:dyDescent="0.25">
      <c r="A316" s="37" t="s">
        <v>31</v>
      </c>
      <c r="B316" s="38" t="s">
        <v>31</v>
      </c>
      <c r="C316" s="38" t="s">
        <v>31</v>
      </c>
      <c r="D316" s="38" t="s">
        <v>31</v>
      </c>
      <c r="E316" s="38" t="s">
        <v>31</v>
      </c>
      <c r="F316" s="38" t="s">
        <v>31</v>
      </c>
      <c r="G316" s="23" t="s">
        <v>31</v>
      </c>
      <c r="H316" s="23" t="s">
        <v>31</v>
      </c>
      <c r="I316" s="23" t="s">
        <v>31</v>
      </c>
      <c r="J316" s="38" t="s">
        <v>31</v>
      </c>
      <c r="K316" s="23" t="s">
        <v>31</v>
      </c>
      <c r="L316" s="23" t="s">
        <v>31</v>
      </c>
      <c r="M316" s="23" t="s">
        <v>31</v>
      </c>
      <c r="N316" s="23" t="s">
        <v>31</v>
      </c>
      <c r="O316" s="23" t="s">
        <v>31</v>
      </c>
      <c r="P316" s="38" t="s">
        <v>31</v>
      </c>
      <c r="Q316" s="38" t="s">
        <v>31</v>
      </c>
      <c r="R316" s="38" t="s">
        <v>31</v>
      </c>
      <c r="S316" s="23" t="s">
        <v>31</v>
      </c>
      <c r="T316" s="23" t="s">
        <v>31</v>
      </c>
      <c r="U316" s="38" t="s">
        <v>31</v>
      </c>
      <c r="V316" s="23" t="s">
        <v>31</v>
      </c>
      <c r="W316" s="23" t="s">
        <v>31</v>
      </c>
      <c r="X316" s="23" t="s">
        <v>31</v>
      </c>
      <c r="Y316" s="38" t="s">
        <v>31</v>
      </c>
    </row>
    <row r="317" spans="1:25" hidden="1" x14ac:dyDescent="0.25">
      <c r="A317" s="37" t="s">
        <v>31</v>
      </c>
      <c r="B317" s="38" t="s">
        <v>31</v>
      </c>
      <c r="C317" s="38" t="s">
        <v>31</v>
      </c>
      <c r="D317" s="38" t="s">
        <v>31</v>
      </c>
      <c r="E317" s="38" t="s">
        <v>31</v>
      </c>
      <c r="F317" s="38" t="s">
        <v>31</v>
      </c>
      <c r="G317" s="23" t="s">
        <v>31</v>
      </c>
      <c r="H317" s="23" t="s">
        <v>31</v>
      </c>
      <c r="I317" s="23" t="s">
        <v>31</v>
      </c>
      <c r="J317" s="38" t="s">
        <v>31</v>
      </c>
      <c r="K317" s="23" t="s">
        <v>31</v>
      </c>
      <c r="L317" s="23" t="s">
        <v>31</v>
      </c>
      <c r="M317" s="23" t="s">
        <v>31</v>
      </c>
      <c r="N317" s="23" t="s">
        <v>31</v>
      </c>
      <c r="O317" s="23" t="s">
        <v>31</v>
      </c>
      <c r="P317" s="38" t="s">
        <v>31</v>
      </c>
      <c r="Q317" s="38" t="s">
        <v>31</v>
      </c>
      <c r="R317" s="38" t="s">
        <v>31</v>
      </c>
      <c r="S317" s="23" t="s">
        <v>31</v>
      </c>
      <c r="T317" s="23" t="s">
        <v>31</v>
      </c>
      <c r="U317" s="38" t="s">
        <v>31</v>
      </c>
      <c r="V317" s="23" t="s">
        <v>31</v>
      </c>
      <c r="W317" s="23" t="s">
        <v>31</v>
      </c>
      <c r="X317" s="23" t="s">
        <v>31</v>
      </c>
      <c r="Y317" s="38" t="s">
        <v>31</v>
      </c>
    </row>
    <row r="318" spans="1:25" hidden="1" x14ac:dyDescent="0.25">
      <c r="A318" s="37" t="s">
        <v>31</v>
      </c>
      <c r="B318" s="38" t="s">
        <v>31</v>
      </c>
      <c r="C318" s="38" t="s">
        <v>31</v>
      </c>
      <c r="D318" s="38" t="s">
        <v>31</v>
      </c>
      <c r="E318" s="38" t="s">
        <v>31</v>
      </c>
      <c r="F318" s="38" t="s">
        <v>31</v>
      </c>
      <c r="G318" s="23" t="s">
        <v>31</v>
      </c>
      <c r="H318" s="23" t="s">
        <v>31</v>
      </c>
      <c r="I318" s="23" t="s">
        <v>31</v>
      </c>
      <c r="J318" s="38" t="s">
        <v>31</v>
      </c>
      <c r="K318" s="23" t="s">
        <v>31</v>
      </c>
      <c r="L318" s="23" t="s">
        <v>31</v>
      </c>
      <c r="M318" s="23" t="s">
        <v>31</v>
      </c>
      <c r="N318" s="23" t="s">
        <v>31</v>
      </c>
      <c r="O318" s="23" t="s">
        <v>31</v>
      </c>
      <c r="P318" s="38" t="s">
        <v>31</v>
      </c>
      <c r="Q318" s="38" t="s">
        <v>31</v>
      </c>
      <c r="R318" s="38" t="s">
        <v>31</v>
      </c>
      <c r="S318" s="23" t="s">
        <v>31</v>
      </c>
      <c r="T318" s="23" t="s">
        <v>31</v>
      </c>
      <c r="U318" s="38" t="s">
        <v>31</v>
      </c>
      <c r="V318" s="23" t="s">
        <v>31</v>
      </c>
      <c r="W318" s="23" t="s">
        <v>31</v>
      </c>
      <c r="X318" s="23" t="s">
        <v>31</v>
      </c>
      <c r="Y318" s="38" t="s">
        <v>31</v>
      </c>
    </row>
    <row r="319" spans="1:25" hidden="1" x14ac:dyDescent="0.25">
      <c r="A319" s="37" t="s">
        <v>31</v>
      </c>
      <c r="B319" s="38" t="s">
        <v>31</v>
      </c>
      <c r="C319" s="38" t="s">
        <v>31</v>
      </c>
      <c r="D319" s="38" t="s">
        <v>31</v>
      </c>
      <c r="E319" s="38" t="s">
        <v>31</v>
      </c>
      <c r="F319" s="38" t="s">
        <v>31</v>
      </c>
      <c r="G319" s="23" t="s">
        <v>31</v>
      </c>
      <c r="H319" s="23" t="s">
        <v>31</v>
      </c>
      <c r="I319" s="23" t="s">
        <v>31</v>
      </c>
      <c r="J319" s="38" t="s">
        <v>31</v>
      </c>
      <c r="K319" s="23" t="s">
        <v>31</v>
      </c>
      <c r="L319" s="23" t="s">
        <v>31</v>
      </c>
      <c r="M319" s="23" t="s">
        <v>31</v>
      </c>
      <c r="N319" s="23" t="s">
        <v>31</v>
      </c>
      <c r="O319" s="23" t="s">
        <v>31</v>
      </c>
      <c r="P319" s="38" t="s">
        <v>31</v>
      </c>
      <c r="Q319" s="38" t="s">
        <v>31</v>
      </c>
      <c r="R319" s="38" t="s">
        <v>31</v>
      </c>
      <c r="S319" s="23" t="s">
        <v>31</v>
      </c>
      <c r="T319" s="23" t="s">
        <v>31</v>
      </c>
      <c r="U319" s="38" t="s">
        <v>31</v>
      </c>
      <c r="V319" s="23" t="s">
        <v>31</v>
      </c>
      <c r="W319" s="23" t="s">
        <v>31</v>
      </c>
      <c r="X319" s="23" t="s">
        <v>31</v>
      </c>
      <c r="Y319" s="38" t="s">
        <v>31</v>
      </c>
    </row>
    <row r="320" spans="1:25" hidden="1" x14ac:dyDescent="0.25">
      <c r="A320" s="37" t="s">
        <v>31</v>
      </c>
      <c r="B320" s="38" t="s">
        <v>31</v>
      </c>
      <c r="C320" s="38" t="s">
        <v>31</v>
      </c>
      <c r="D320" s="38" t="s">
        <v>31</v>
      </c>
      <c r="E320" s="38" t="s">
        <v>31</v>
      </c>
      <c r="F320" s="38" t="s">
        <v>31</v>
      </c>
      <c r="G320" s="23" t="s">
        <v>31</v>
      </c>
      <c r="H320" s="23" t="s">
        <v>31</v>
      </c>
      <c r="I320" s="23" t="s">
        <v>31</v>
      </c>
      <c r="J320" s="38" t="s">
        <v>31</v>
      </c>
      <c r="K320" s="23" t="s">
        <v>31</v>
      </c>
      <c r="L320" s="23" t="s">
        <v>31</v>
      </c>
      <c r="M320" s="23" t="s">
        <v>31</v>
      </c>
      <c r="N320" s="23" t="s">
        <v>31</v>
      </c>
      <c r="O320" s="23" t="s">
        <v>31</v>
      </c>
      <c r="P320" s="38" t="s">
        <v>31</v>
      </c>
      <c r="Q320" s="38" t="s">
        <v>31</v>
      </c>
      <c r="R320" s="38" t="s">
        <v>31</v>
      </c>
      <c r="S320" s="23" t="s">
        <v>31</v>
      </c>
      <c r="T320" s="23" t="s">
        <v>31</v>
      </c>
      <c r="U320" s="38" t="s">
        <v>31</v>
      </c>
      <c r="V320" s="23" t="s">
        <v>31</v>
      </c>
      <c r="W320" s="23" t="s">
        <v>31</v>
      </c>
      <c r="X320" s="23" t="s">
        <v>31</v>
      </c>
      <c r="Y320" s="38" t="s">
        <v>31</v>
      </c>
    </row>
    <row r="321" spans="1:25" hidden="1" x14ac:dyDescent="0.25">
      <c r="A321" s="37" t="s">
        <v>31</v>
      </c>
      <c r="B321" s="38" t="s">
        <v>31</v>
      </c>
      <c r="C321" s="38" t="s">
        <v>31</v>
      </c>
      <c r="D321" s="38" t="s">
        <v>31</v>
      </c>
      <c r="E321" s="38" t="s">
        <v>31</v>
      </c>
      <c r="F321" s="38" t="s">
        <v>31</v>
      </c>
      <c r="G321" s="23" t="s">
        <v>31</v>
      </c>
      <c r="H321" s="23" t="s">
        <v>31</v>
      </c>
      <c r="I321" s="23" t="s">
        <v>31</v>
      </c>
      <c r="J321" s="38" t="s">
        <v>31</v>
      </c>
      <c r="K321" s="23" t="s">
        <v>31</v>
      </c>
      <c r="L321" s="23" t="s">
        <v>31</v>
      </c>
      <c r="M321" s="23" t="s">
        <v>31</v>
      </c>
      <c r="N321" s="23" t="s">
        <v>31</v>
      </c>
      <c r="O321" s="23" t="s">
        <v>31</v>
      </c>
      <c r="P321" s="38" t="s">
        <v>31</v>
      </c>
      <c r="Q321" s="38" t="s">
        <v>31</v>
      </c>
      <c r="R321" s="38" t="s">
        <v>31</v>
      </c>
      <c r="S321" s="23" t="s">
        <v>31</v>
      </c>
      <c r="T321" s="23" t="s">
        <v>31</v>
      </c>
      <c r="U321" s="38" t="s">
        <v>31</v>
      </c>
      <c r="V321" s="23" t="s">
        <v>31</v>
      </c>
      <c r="W321" s="23" t="s">
        <v>31</v>
      </c>
      <c r="X321" s="23" t="s">
        <v>31</v>
      </c>
      <c r="Y321" s="38" t="s">
        <v>31</v>
      </c>
    </row>
    <row r="322" spans="1:25" hidden="1" x14ac:dyDescent="0.25">
      <c r="A322" s="37" t="s">
        <v>31</v>
      </c>
      <c r="B322" s="38" t="s">
        <v>31</v>
      </c>
      <c r="C322" s="38" t="s">
        <v>31</v>
      </c>
      <c r="D322" s="38" t="s">
        <v>31</v>
      </c>
      <c r="E322" s="38" t="s">
        <v>31</v>
      </c>
      <c r="F322" s="38" t="s">
        <v>31</v>
      </c>
      <c r="G322" s="23" t="s">
        <v>31</v>
      </c>
      <c r="H322" s="23" t="s">
        <v>31</v>
      </c>
      <c r="I322" s="23" t="s">
        <v>31</v>
      </c>
      <c r="J322" s="38" t="s">
        <v>31</v>
      </c>
      <c r="K322" s="23" t="s">
        <v>31</v>
      </c>
      <c r="L322" s="23" t="s">
        <v>31</v>
      </c>
      <c r="M322" s="23" t="s">
        <v>31</v>
      </c>
      <c r="N322" s="23" t="s">
        <v>31</v>
      </c>
      <c r="O322" s="23" t="s">
        <v>31</v>
      </c>
      <c r="P322" s="38" t="s">
        <v>31</v>
      </c>
      <c r="Q322" s="38" t="s">
        <v>31</v>
      </c>
      <c r="R322" s="38" t="s">
        <v>31</v>
      </c>
      <c r="S322" s="23" t="s">
        <v>31</v>
      </c>
      <c r="T322" s="23" t="s">
        <v>31</v>
      </c>
      <c r="U322" s="38" t="s">
        <v>31</v>
      </c>
      <c r="V322" s="23" t="s">
        <v>31</v>
      </c>
      <c r="W322" s="23" t="s">
        <v>31</v>
      </c>
      <c r="X322" s="23" t="s">
        <v>31</v>
      </c>
      <c r="Y322" s="38" t="s">
        <v>31</v>
      </c>
    </row>
    <row r="323" spans="1:25" hidden="1" x14ac:dyDescent="0.25">
      <c r="A323" s="37" t="s">
        <v>31</v>
      </c>
      <c r="B323" s="38" t="s">
        <v>31</v>
      </c>
      <c r="C323" s="38" t="s">
        <v>31</v>
      </c>
      <c r="D323" s="38" t="s">
        <v>31</v>
      </c>
      <c r="E323" s="38" t="s">
        <v>31</v>
      </c>
      <c r="F323" s="38" t="s">
        <v>31</v>
      </c>
      <c r="G323" s="23" t="s">
        <v>31</v>
      </c>
      <c r="H323" s="23" t="s">
        <v>31</v>
      </c>
      <c r="I323" s="23" t="s">
        <v>31</v>
      </c>
      <c r="J323" s="38" t="s">
        <v>31</v>
      </c>
      <c r="K323" s="23" t="s">
        <v>31</v>
      </c>
      <c r="L323" s="23" t="s">
        <v>31</v>
      </c>
      <c r="M323" s="23" t="s">
        <v>31</v>
      </c>
      <c r="N323" s="23" t="s">
        <v>31</v>
      </c>
      <c r="O323" s="23" t="s">
        <v>31</v>
      </c>
      <c r="P323" s="38" t="s">
        <v>31</v>
      </c>
      <c r="Q323" s="38" t="s">
        <v>31</v>
      </c>
      <c r="R323" s="38" t="s">
        <v>31</v>
      </c>
      <c r="S323" s="23" t="s">
        <v>31</v>
      </c>
      <c r="T323" s="23" t="s">
        <v>31</v>
      </c>
      <c r="U323" s="38" t="s">
        <v>31</v>
      </c>
      <c r="V323" s="23" t="s">
        <v>31</v>
      </c>
      <c r="W323" s="23" t="s">
        <v>31</v>
      </c>
      <c r="X323" s="23" t="s">
        <v>31</v>
      </c>
      <c r="Y323" s="38" t="s">
        <v>31</v>
      </c>
    </row>
    <row r="324" spans="1:25" hidden="1" x14ac:dyDescent="0.25">
      <c r="A324" s="37" t="s">
        <v>31</v>
      </c>
      <c r="B324" s="38" t="s">
        <v>31</v>
      </c>
      <c r="C324" s="38" t="s">
        <v>31</v>
      </c>
      <c r="D324" s="38" t="s">
        <v>31</v>
      </c>
      <c r="E324" s="38" t="s">
        <v>31</v>
      </c>
      <c r="F324" s="38" t="s">
        <v>31</v>
      </c>
      <c r="G324" s="23" t="s">
        <v>31</v>
      </c>
      <c r="H324" s="23" t="s">
        <v>31</v>
      </c>
      <c r="I324" s="23" t="s">
        <v>31</v>
      </c>
      <c r="J324" s="38" t="s">
        <v>31</v>
      </c>
      <c r="K324" s="23" t="s">
        <v>31</v>
      </c>
      <c r="L324" s="23" t="s">
        <v>31</v>
      </c>
      <c r="M324" s="23" t="s">
        <v>31</v>
      </c>
      <c r="N324" s="23" t="s">
        <v>31</v>
      </c>
      <c r="O324" s="23" t="s">
        <v>31</v>
      </c>
      <c r="P324" s="38" t="s">
        <v>31</v>
      </c>
      <c r="Q324" s="38" t="s">
        <v>31</v>
      </c>
      <c r="R324" s="38" t="s">
        <v>31</v>
      </c>
      <c r="S324" s="23" t="s">
        <v>31</v>
      </c>
      <c r="T324" s="23" t="s">
        <v>31</v>
      </c>
      <c r="U324" s="38" t="s">
        <v>31</v>
      </c>
      <c r="V324" s="23" t="s">
        <v>31</v>
      </c>
      <c r="W324" s="23" t="s">
        <v>31</v>
      </c>
      <c r="X324" s="23" t="s">
        <v>31</v>
      </c>
      <c r="Y324" s="38" t="s">
        <v>31</v>
      </c>
    </row>
    <row r="325" spans="1:25" hidden="1" x14ac:dyDescent="0.25">
      <c r="A325" s="37" t="s">
        <v>31</v>
      </c>
      <c r="B325" s="38" t="s">
        <v>31</v>
      </c>
      <c r="C325" s="38" t="s">
        <v>31</v>
      </c>
      <c r="D325" s="38" t="s">
        <v>31</v>
      </c>
      <c r="E325" s="38" t="s">
        <v>31</v>
      </c>
      <c r="F325" s="38" t="s">
        <v>31</v>
      </c>
      <c r="G325" s="23" t="s">
        <v>31</v>
      </c>
      <c r="H325" s="23" t="s">
        <v>31</v>
      </c>
      <c r="I325" s="23" t="s">
        <v>31</v>
      </c>
      <c r="J325" s="38" t="s">
        <v>31</v>
      </c>
      <c r="K325" s="23" t="s">
        <v>31</v>
      </c>
      <c r="L325" s="23" t="s">
        <v>31</v>
      </c>
      <c r="M325" s="23" t="s">
        <v>31</v>
      </c>
      <c r="N325" s="23" t="s">
        <v>31</v>
      </c>
      <c r="O325" s="23" t="s">
        <v>31</v>
      </c>
      <c r="P325" s="38" t="s">
        <v>31</v>
      </c>
      <c r="Q325" s="38" t="s">
        <v>31</v>
      </c>
      <c r="R325" s="38" t="s">
        <v>31</v>
      </c>
      <c r="S325" s="23" t="s">
        <v>31</v>
      </c>
      <c r="T325" s="23" t="s">
        <v>31</v>
      </c>
      <c r="U325" s="38" t="s">
        <v>31</v>
      </c>
      <c r="V325" s="23" t="s">
        <v>31</v>
      </c>
      <c r="W325" s="23" t="s">
        <v>31</v>
      </c>
      <c r="X325" s="23" t="s">
        <v>31</v>
      </c>
      <c r="Y325" s="38" t="s">
        <v>31</v>
      </c>
    </row>
    <row r="326" spans="1:25" hidden="1" x14ac:dyDescent="0.25">
      <c r="A326" s="40" t="s">
        <v>31</v>
      </c>
      <c r="B326" s="41" t="s">
        <v>31</v>
      </c>
      <c r="C326" s="41" t="s">
        <v>31</v>
      </c>
      <c r="D326" s="41" t="s">
        <v>31</v>
      </c>
      <c r="E326" s="41" t="s">
        <v>31</v>
      </c>
      <c r="F326" s="41" t="s">
        <v>31</v>
      </c>
      <c r="G326" s="42" t="s">
        <v>31</v>
      </c>
      <c r="H326" s="42" t="s">
        <v>31</v>
      </c>
      <c r="I326" s="42" t="s">
        <v>31</v>
      </c>
      <c r="J326" s="41" t="s">
        <v>31</v>
      </c>
      <c r="K326" s="42" t="s">
        <v>31</v>
      </c>
      <c r="L326" s="42" t="s">
        <v>31</v>
      </c>
      <c r="M326" s="42" t="s">
        <v>31</v>
      </c>
      <c r="N326" s="42" t="s">
        <v>31</v>
      </c>
      <c r="O326" s="42" t="s">
        <v>31</v>
      </c>
      <c r="P326" s="41" t="s">
        <v>31</v>
      </c>
      <c r="Q326" s="41" t="s">
        <v>31</v>
      </c>
      <c r="R326" s="41" t="s">
        <v>31</v>
      </c>
      <c r="S326" s="42" t="s">
        <v>31</v>
      </c>
      <c r="T326" s="42" t="s">
        <v>31</v>
      </c>
      <c r="U326" s="41" t="s">
        <v>31</v>
      </c>
      <c r="V326" s="42" t="s">
        <v>31</v>
      </c>
      <c r="W326" s="42" t="s">
        <v>31</v>
      </c>
      <c r="X326" s="42" t="s">
        <v>31</v>
      </c>
      <c r="Y326" s="41" t="s">
        <v>31</v>
      </c>
    </row>
    <row r="327" spans="1:25" hidden="1" x14ac:dyDescent="0.25">
      <c r="A327" s="40" t="s">
        <v>31</v>
      </c>
      <c r="B327" s="41" t="s">
        <v>31</v>
      </c>
      <c r="C327" s="41" t="s">
        <v>31</v>
      </c>
      <c r="D327" s="41" t="s">
        <v>31</v>
      </c>
      <c r="E327" s="41" t="s">
        <v>31</v>
      </c>
      <c r="F327" s="41" t="s">
        <v>31</v>
      </c>
      <c r="G327" s="42" t="s">
        <v>31</v>
      </c>
      <c r="H327" s="42" t="s">
        <v>31</v>
      </c>
      <c r="I327" s="42" t="s">
        <v>31</v>
      </c>
      <c r="J327" s="41" t="s">
        <v>31</v>
      </c>
      <c r="K327" s="42" t="s">
        <v>31</v>
      </c>
      <c r="L327" s="42" t="s">
        <v>31</v>
      </c>
      <c r="M327" s="42" t="s">
        <v>31</v>
      </c>
      <c r="N327" s="42" t="s">
        <v>31</v>
      </c>
      <c r="O327" s="42" t="s">
        <v>31</v>
      </c>
      <c r="P327" s="41" t="s">
        <v>31</v>
      </c>
      <c r="Q327" s="41" t="s">
        <v>31</v>
      </c>
      <c r="R327" s="41" t="s">
        <v>31</v>
      </c>
      <c r="S327" s="42" t="s">
        <v>31</v>
      </c>
      <c r="T327" s="42" t="s">
        <v>31</v>
      </c>
      <c r="U327" s="41" t="s">
        <v>31</v>
      </c>
      <c r="V327" s="42" t="s">
        <v>31</v>
      </c>
      <c r="W327" s="42" t="s">
        <v>31</v>
      </c>
      <c r="X327" s="42" t="s">
        <v>31</v>
      </c>
      <c r="Y327" s="41" t="s">
        <v>31</v>
      </c>
    </row>
    <row r="328" spans="1:25" hidden="1" x14ac:dyDescent="0.25">
      <c r="A328" s="40" t="s">
        <v>31</v>
      </c>
      <c r="B328" s="41" t="s">
        <v>31</v>
      </c>
      <c r="C328" s="41" t="s">
        <v>31</v>
      </c>
      <c r="D328" s="41" t="s">
        <v>31</v>
      </c>
      <c r="E328" s="41" t="s">
        <v>31</v>
      </c>
      <c r="F328" s="41" t="s">
        <v>31</v>
      </c>
      <c r="G328" s="42" t="s">
        <v>31</v>
      </c>
      <c r="H328" s="42" t="s">
        <v>31</v>
      </c>
      <c r="I328" s="42" t="s">
        <v>31</v>
      </c>
      <c r="J328" s="41" t="s">
        <v>31</v>
      </c>
      <c r="K328" s="42" t="s">
        <v>31</v>
      </c>
      <c r="L328" s="42" t="s">
        <v>31</v>
      </c>
      <c r="M328" s="42" t="s">
        <v>31</v>
      </c>
      <c r="N328" s="42" t="s">
        <v>31</v>
      </c>
      <c r="O328" s="42" t="s">
        <v>31</v>
      </c>
      <c r="P328" s="41" t="s">
        <v>31</v>
      </c>
      <c r="Q328" s="41" t="s">
        <v>31</v>
      </c>
      <c r="R328" s="41" t="s">
        <v>31</v>
      </c>
      <c r="S328" s="42" t="s">
        <v>31</v>
      </c>
      <c r="T328" s="42" t="s">
        <v>31</v>
      </c>
      <c r="U328" s="41" t="s">
        <v>31</v>
      </c>
      <c r="V328" s="42" t="s">
        <v>31</v>
      </c>
      <c r="W328" s="42" t="s">
        <v>31</v>
      </c>
      <c r="X328" s="42" t="s">
        <v>31</v>
      </c>
      <c r="Y328" s="41" t="s">
        <v>31</v>
      </c>
    </row>
    <row r="329" spans="1:25" hidden="1" x14ac:dyDescent="0.25">
      <c r="A329" s="44"/>
      <c r="B329" s="44"/>
      <c r="C329" s="44"/>
      <c r="D329" s="44"/>
      <c r="E329" s="44"/>
      <c r="F329" s="44"/>
      <c r="G329" s="44"/>
      <c r="H329" s="44"/>
      <c r="I329" s="44"/>
      <c r="J329" s="37" t="s">
        <v>31</v>
      </c>
      <c r="K329" s="23" t="s">
        <v>31</v>
      </c>
      <c r="L329" s="23" t="s">
        <v>31</v>
      </c>
      <c r="M329" s="23" t="s">
        <v>31</v>
      </c>
      <c r="N329" s="23" t="s">
        <v>31</v>
      </c>
      <c r="O329" s="23" t="s">
        <v>31</v>
      </c>
      <c r="P329" s="38" t="s">
        <v>31</v>
      </c>
      <c r="Q329" s="38" t="s">
        <v>31</v>
      </c>
      <c r="R329" s="38" t="s">
        <v>31</v>
      </c>
      <c r="S329" s="23" t="s">
        <v>31</v>
      </c>
      <c r="T329" s="23" t="s">
        <v>31</v>
      </c>
      <c r="U329" s="38" t="s">
        <v>31</v>
      </c>
      <c r="V329" s="44"/>
      <c r="W329" s="44"/>
      <c r="X329" s="44"/>
      <c r="Y329" s="44"/>
    </row>
    <row r="330" spans="1:25" hidden="1" x14ac:dyDescent="0.25">
      <c r="A330" s="44"/>
      <c r="B330" s="44"/>
      <c r="C330" s="44"/>
      <c r="D330" s="44"/>
      <c r="E330" s="44"/>
      <c r="F330" s="44"/>
      <c r="G330" s="44"/>
      <c r="H330" s="44"/>
      <c r="I330" s="44"/>
      <c r="J330" s="37" t="s">
        <v>31</v>
      </c>
      <c r="K330" s="23" t="s">
        <v>31</v>
      </c>
      <c r="L330" s="23" t="s">
        <v>31</v>
      </c>
      <c r="M330" s="23" t="s">
        <v>31</v>
      </c>
      <c r="N330" s="23" t="s">
        <v>31</v>
      </c>
      <c r="O330" s="23" t="s">
        <v>31</v>
      </c>
      <c r="P330" s="38" t="s">
        <v>31</v>
      </c>
      <c r="Q330" s="38" t="s">
        <v>31</v>
      </c>
      <c r="R330" s="38" t="s">
        <v>31</v>
      </c>
      <c r="S330" s="23" t="s">
        <v>31</v>
      </c>
      <c r="T330" s="23" t="s">
        <v>31</v>
      </c>
      <c r="U330" s="44"/>
      <c r="V330" s="44"/>
      <c r="W330" s="44"/>
      <c r="X330" s="44"/>
      <c r="Y330" s="44"/>
    </row>
    <row r="331" spans="1:25" hidden="1" x14ac:dyDescent="0.25">
      <c r="A331" s="44"/>
      <c r="B331" s="44"/>
      <c r="C331" s="44"/>
      <c r="D331" s="44"/>
      <c r="E331" s="44"/>
      <c r="F331" s="44"/>
      <c r="G331" s="44"/>
      <c r="H331" s="44"/>
      <c r="I331" s="44"/>
      <c r="J331" s="37" t="s">
        <v>31</v>
      </c>
      <c r="K331" s="23" t="s">
        <v>31</v>
      </c>
      <c r="L331" s="23" t="s">
        <v>31</v>
      </c>
      <c r="M331" s="23" t="s">
        <v>31</v>
      </c>
      <c r="N331" s="23" t="s">
        <v>31</v>
      </c>
      <c r="O331" s="23" t="s">
        <v>31</v>
      </c>
      <c r="P331" s="38" t="s">
        <v>31</v>
      </c>
      <c r="Q331" s="38" t="s">
        <v>31</v>
      </c>
      <c r="R331" s="38" t="s">
        <v>31</v>
      </c>
      <c r="S331" s="23" t="s">
        <v>31</v>
      </c>
      <c r="T331" s="44"/>
      <c r="U331" s="44"/>
      <c r="V331" s="44"/>
      <c r="W331" s="44"/>
      <c r="X331" s="44"/>
      <c r="Y331" s="44"/>
    </row>
    <row r="332" spans="1:25" hidden="1" x14ac:dyDescent="0.25">
      <c r="A332" s="44"/>
      <c r="B332" s="44"/>
      <c r="C332" s="44"/>
      <c r="D332" s="44"/>
      <c r="E332" s="44"/>
      <c r="F332" s="44"/>
      <c r="G332" s="44"/>
      <c r="H332" s="44"/>
      <c r="I332" s="44"/>
      <c r="J332" s="37" t="s">
        <v>31</v>
      </c>
      <c r="K332" s="23" t="s">
        <v>31</v>
      </c>
      <c r="L332" s="23" t="s">
        <v>31</v>
      </c>
      <c r="M332" s="23" t="s">
        <v>31</v>
      </c>
      <c r="N332" s="23" t="s">
        <v>31</v>
      </c>
      <c r="O332" s="23" t="s">
        <v>31</v>
      </c>
      <c r="P332" s="38" t="s">
        <v>31</v>
      </c>
      <c r="Q332" s="38" t="s">
        <v>31</v>
      </c>
      <c r="R332" s="38" t="s">
        <v>31</v>
      </c>
      <c r="S332" s="23" t="s">
        <v>31</v>
      </c>
      <c r="T332" s="22" t="s">
        <v>31</v>
      </c>
      <c r="U332" s="44"/>
      <c r="V332" s="44"/>
      <c r="W332" s="44"/>
      <c r="X332" s="44"/>
      <c r="Y332" s="44"/>
    </row>
    <row r="333" spans="1:25" hidden="1" x14ac:dyDescent="0.25">
      <c r="A333" s="44"/>
      <c r="B333" s="44"/>
      <c r="C333" s="44"/>
      <c r="D333" s="44"/>
      <c r="E333" s="44"/>
      <c r="F333" s="44"/>
      <c r="G333" s="44"/>
      <c r="H333" s="44"/>
      <c r="I333" s="44"/>
      <c r="J333" s="37" t="s">
        <v>31</v>
      </c>
      <c r="K333" s="23" t="s">
        <v>31</v>
      </c>
      <c r="L333" s="23" t="s">
        <v>31</v>
      </c>
      <c r="M333" s="23" t="s">
        <v>31</v>
      </c>
      <c r="N333" s="23" t="s">
        <v>31</v>
      </c>
      <c r="O333" s="23" t="s">
        <v>31</v>
      </c>
      <c r="P333" s="38" t="s">
        <v>31</v>
      </c>
      <c r="Q333" s="38" t="s">
        <v>31</v>
      </c>
      <c r="R333" s="38" t="s">
        <v>31</v>
      </c>
      <c r="S333" s="23" t="s">
        <v>31</v>
      </c>
      <c r="T333" s="23" t="s">
        <v>31</v>
      </c>
      <c r="U333" s="44"/>
      <c r="V333" s="44"/>
      <c r="W333" s="44"/>
      <c r="X333" s="44"/>
      <c r="Y333" s="44"/>
    </row>
    <row r="334" spans="1:25" hidden="1" x14ac:dyDescent="0.25">
      <c r="A334" s="44"/>
      <c r="B334" s="44"/>
      <c r="C334" s="44"/>
      <c r="D334" s="44"/>
      <c r="E334" s="44"/>
      <c r="F334" s="44"/>
      <c r="G334" s="44"/>
      <c r="H334" s="44"/>
      <c r="I334" s="44"/>
      <c r="J334" s="37" t="s">
        <v>31</v>
      </c>
      <c r="K334" s="23" t="s">
        <v>31</v>
      </c>
      <c r="L334" s="23" t="s">
        <v>31</v>
      </c>
      <c r="M334" s="23" t="s">
        <v>31</v>
      </c>
      <c r="N334" s="23" t="s">
        <v>31</v>
      </c>
      <c r="O334" s="23" t="s">
        <v>31</v>
      </c>
      <c r="P334" s="38" t="s">
        <v>31</v>
      </c>
      <c r="Q334" s="38" t="s">
        <v>31</v>
      </c>
      <c r="R334" s="38" t="s">
        <v>31</v>
      </c>
      <c r="S334" s="23" t="s">
        <v>31</v>
      </c>
      <c r="T334" s="23" t="s">
        <v>31</v>
      </c>
      <c r="U334" s="44"/>
      <c r="V334" s="44"/>
      <c r="W334" s="44"/>
      <c r="X334" s="44"/>
      <c r="Y334" s="44"/>
    </row>
    <row r="335" spans="1:25" hidden="1" x14ac:dyDescent="0.25">
      <c r="A335" s="44"/>
      <c r="B335" s="44"/>
      <c r="C335" s="44"/>
      <c r="D335" s="44"/>
      <c r="E335" s="44"/>
      <c r="F335" s="44"/>
      <c r="G335" s="44"/>
      <c r="H335" s="44"/>
      <c r="I335" s="44"/>
      <c r="J335" s="37" t="s">
        <v>31</v>
      </c>
      <c r="K335" s="23" t="s">
        <v>31</v>
      </c>
      <c r="L335" s="23" t="s">
        <v>31</v>
      </c>
      <c r="M335" s="23" t="s">
        <v>31</v>
      </c>
      <c r="N335" s="23" t="s">
        <v>31</v>
      </c>
      <c r="O335" s="23" t="s">
        <v>31</v>
      </c>
      <c r="P335" s="38" t="s">
        <v>31</v>
      </c>
      <c r="Q335" s="38" t="s">
        <v>31</v>
      </c>
      <c r="R335" s="38" t="s">
        <v>31</v>
      </c>
      <c r="S335" s="23" t="s">
        <v>31</v>
      </c>
      <c r="T335" s="44"/>
      <c r="U335" s="44"/>
      <c r="V335" s="44"/>
      <c r="W335" s="44"/>
      <c r="X335" s="44"/>
      <c r="Y335" s="44"/>
    </row>
    <row r="336" spans="1:25" hidden="1" x14ac:dyDescent="0.25">
      <c r="A336" s="44"/>
      <c r="B336" s="44"/>
      <c r="C336" s="44"/>
      <c r="D336" s="44"/>
      <c r="E336" s="44"/>
      <c r="F336" s="44"/>
      <c r="G336" s="44"/>
      <c r="H336" s="44"/>
      <c r="I336" s="44"/>
      <c r="J336" s="37" t="s">
        <v>31</v>
      </c>
      <c r="K336" s="23" t="s">
        <v>31</v>
      </c>
      <c r="L336" s="23" t="s">
        <v>31</v>
      </c>
      <c r="M336" s="23" t="s">
        <v>31</v>
      </c>
      <c r="N336" s="23" t="s">
        <v>31</v>
      </c>
      <c r="O336" s="23" t="s">
        <v>31</v>
      </c>
      <c r="P336" s="38" t="s">
        <v>31</v>
      </c>
      <c r="Q336" s="38" t="s">
        <v>31</v>
      </c>
      <c r="R336" s="38" t="s">
        <v>31</v>
      </c>
      <c r="S336" s="23" t="s">
        <v>31</v>
      </c>
      <c r="T336" s="44"/>
      <c r="U336" s="44"/>
      <c r="V336" s="44"/>
      <c r="W336" s="44"/>
      <c r="X336" s="44"/>
      <c r="Y336" s="44"/>
    </row>
  </sheetData>
  <autoFilter ref="A1:Y336" xr:uid="{8279554F-F6F6-40AD-A462-FC8B56229121}">
    <filterColumn colId="6">
      <filters>
        <filter val="Centro"/>
        <filter val="Centro ejecutivo"/>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C8122-191C-4CFE-BC0E-BD5A8E45B7C3}">
  <dimension ref="A1:Z17"/>
  <sheetViews>
    <sheetView workbookViewId="0">
      <selection activeCell="D9" sqref="D9"/>
    </sheetView>
  </sheetViews>
  <sheetFormatPr baseColWidth="10" defaultColWidth="9.140625" defaultRowHeight="15" x14ac:dyDescent="0.25"/>
  <sheetData>
    <row r="1" spans="1:26" ht="64.5" x14ac:dyDescent="0.25">
      <c r="A1" s="206" t="s">
        <v>0</v>
      </c>
      <c r="B1" s="207" t="s">
        <v>1</v>
      </c>
      <c r="C1" s="207" t="s">
        <v>2</v>
      </c>
      <c r="D1" s="207" t="s">
        <v>3</v>
      </c>
      <c r="E1" s="207" t="s">
        <v>4</v>
      </c>
      <c r="F1" s="207" t="s">
        <v>5</v>
      </c>
      <c r="G1" s="207" t="s">
        <v>6</v>
      </c>
      <c r="H1" s="207" t="s">
        <v>7</v>
      </c>
      <c r="I1" s="208" t="s">
        <v>8</v>
      </c>
      <c r="J1" s="206" t="s">
        <v>239</v>
      </c>
      <c r="K1" s="207" t="s">
        <v>240</v>
      </c>
      <c r="L1" s="207" t="s">
        <v>11</v>
      </c>
      <c r="M1" s="207" t="s">
        <v>12</v>
      </c>
      <c r="N1" s="207" t="s">
        <v>13</v>
      </c>
      <c r="O1" s="209" t="s">
        <v>177</v>
      </c>
      <c r="P1" s="206" t="s">
        <v>15</v>
      </c>
      <c r="Q1" s="207" t="s">
        <v>16</v>
      </c>
      <c r="R1" s="207" t="s">
        <v>17</v>
      </c>
      <c r="S1" s="207" t="s">
        <v>18</v>
      </c>
      <c r="T1" s="207" t="s">
        <v>19</v>
      </c>
      <c r="U1" s="207" t="s">
        <v>15</v>
      </c>
      <c r="V1" s="207" t="s">
        <v>20</v>
      </c>
      <c r="W1" s="207" t="s">
        <v>21</v>
      </c>
      <c r="X1" s="208" t="s">
        <v>178</v>
      </c>
      <c r="Y1" s="206" t="s">
        <v>179</v>
      </c>
      <c r="Z1" s="48"/>
    </row>
    <row r="2" spans="1:26" x14ac:dyDescent="0.25">
      <c r="A2" s="46" t="s">
        <v>351</v>
      </c>
      <c r="B2" s="39" t="s">
        <v>181</v>
      </c>
      <c r="C2" s="39" t="s">
        <v>26</v>
      </c>
      <c r="D2" s="39" t="s">
        <v>352</v>
      </c>
      <c r="E2" s="39" t="s">
        <v>353</v>
      </c>
      <c r="F2" s="39">
        <v>2023</v>
      </c>
      <c r="G2" s="49" t="s">
        <v>56</v>
      </c>
      <c r="H2" s="50" t="s">
        <v>57</v>
      </c>
      <c r="I2" s="50" t="s">
        <v>31</v>
      </c>
      <c r="J2" s="50" t="s">
        <v>32</v>
      </c>
      <c r="K2" s="50">
        <v>1</v>
      </c>
      <c r="L2" s="50" t="s">
        <v>31</v>
      </c>
      <c r="M2" s="50">
        <v>6802.5</v>
      </c>
      <c r="N2" s="50">
        <v>9070</v>
      </c>
      <c r="O2" s="50" t="s">
        <v>31</v>
      </c>
      <c r="P2" s="50" t="s">
        <v>33</v>
      </c>
      <c r="Q2" s="46">
        <v>23210.81</v>
      </c>
      <c r="R2" s="49">
        <v>2</v>
      </c>
      <c r="S2" s="48"/>
      <c r="T2" s="46" t="s">
        <v>93</v>
      </c>
      <c r="U2" s="39" t="s">
        <v>33</v>
      </c>
      <c r="V2" s="48"/>
      <c r="W2" s="51">
        <v>45078</v>
      </c>
      <c r="X2" s="25" t="s">
        <v>31</v>
      </c>
      <c r="Y2" s="50" t="s">
        <v>354</v>
      </c>
      <c r="Z2" s="48"/>
    </row>
    <row r="3" spans="1:26" x14ac:dyDescent="0.25">
      <c r="A3" s="37" t="s">
        <v>351</v>
      </c>
      <c r="B3" s="38" t="s">
        <v>181</v>
      </c>
      <c r="C3" s="38" t="s">
        <v>26</v>
      </c>
      <c r="D3" s="38" t="s">
        <v>352</v>
      </c>
      <c r="E3" s="38" t="s">
        <v>353</v>
      </c>
      <c r="F3" s="38">
        <v>2023</v>
      </c>
      <c r="G3" s="49" t="s">
        <v>80</v>
      </c>
      <c r="H3" s="50" t="s">
        <v>66</v>
      </c>
      <c r="I3" s="50" t="s">
        <v>31</v>
      </c>
      <c r="J3" s="50" t="s">
        <v>185</v>
      </c>
      <c r="K3" s="50" t="s">
        <v>31</v>
      </c>
      <c r="L3" s="50" t="s">
        <v>31</v>
      </c>
      <c r="M3" s="50">
        <v>1327.5</v>
      </c>
      <c r="N3" s="50">
        <v>1770</v>
      </c>
      <c r="O3" s="50" t="s">
        <v>31</v>
      </c>
      <c r="P3" s="50" t="s">
        <v>33</v>
      </c>
      <c r="Q3" s="37">
        <v>4529.5600000000004</v>
      </c>
      <c r="R3" s="39" t="s">
        <v>31</v>
      </c>
      <c r="S3" s="49" t="s">
        <v>31</v>
      </c>
      <c r="T3" s="37" t="s">
        <v>93</v>
      </c>
      <c r="U3" s="38" t="s">
        <v>33</v>
      </c>
      <c r="V3" s="48"/>
      <c r="W3" s="52">
        <v>45078</v>
      </c>
      <c r="X3" s="22" t="s">
        <v>31</v>
      </c>
      <c r="Y3" s="39" t="s">
        <v>355</v>
      </c>
      <c r="Z3" s="48"/>
    </row>
    <row r="4" spans="1:26" x14ac:dyDescent="0.25">
      <c r="A4" s="37" t="s">
        <v>351</v>
      </c>
      <c r="B4" s="38" t="s">
        <v>181</v>
      </c>
      <c r="C4" s="38" t="s">
        <v>26</v>
      </c>
      <c r="D4" s="38" t="s">
        <v>352</v>
      </c>
      <c r="E4" s="38" t="s">
        <v>353</v>
      </c>
      <c r="F4" s="38">
        <v>2023</v>
      </c>
      <c r="G4" s="49" t="s">
        <v>43</v>
      </c>
      <c r="H4" s="50" t="s">
        <v>59</v>
      </c>
      <c r="I4" s="50" t="s">
        <v>31</v>
      </c>
      <c r="J4" s="50" t="s">
        <v>185</v>
      </c>
      <c r="K4" s="50" t="s">
        <v>31</v>
      </c>
      <c r="L4" s="50" t="s">
        <v>31</v>
      </c>
      <c r="M4" s="50">
        <v>1327.5</v>
      </c>
      <c r="N4" s="50">
        <v>1770</v>
      </c>
      <c r="O4" s="50" t="s">
        <v>31</v>
      </c>
      <c r="P4" s="50" t="s">
        <v>33</v>
      </c>
      <c r="Q4" s="37">
        <v>4529.5600000000004</v>
      </c>
      <c r="R4" s="38" t="s">
        <v>31</v>
      </c>
      <c r="S4" s="49" t="s">
        <v>31</v>
      </c>
      <c r="T4" s="37" t="s">
        <v>93</v>
      </c>
      <c r="U4" s="38" t="s">
        <v>33</v>
      </c>
      <c r="V4" s="48"/>
      <c r="W4" s="52">
        <v>45078</v>
      </c>
      <c r="X4" s="23" t="s">
        <v>31</v>
      </c>
      <c r="Y4" s="38" t="s">
        <v>355</v>
      </c>
      <c r="Z4" s="48"/>
    </row>
    <row r="5" spans="1:26" x14ac:dyDescent="0.25">
      <c r="A5" s="37" t="s">
        <v>351</v>
      </c>
      <c r="B5" s="38" t="s">
        <v>181</v>
      </c>
      <c r="C5" s="38" t="s">
        <v>26</v>
      </c>
      <c r="D5" s="38" t="s">
        <v>352</v>
      </c>
      <c r="E5" s="38" t="s">
        <v>353</v>
      </c>
      <c r="F5" s="38">
        <v>2023</v>
      </c>
      <c r="G5" s="22" t="s">
        <v>165</v>
      </c>
      <c r="H5" s="22" t="s">
        <v>51</v>
      </c>
      <c r="I5" s="25" t="s">
        <v>31</v>
      </c>
      <c r="J5" s="50" t="s">
        <v>185</v>
      </c>
      <c r="K5" s="50" t="s">
        <v>31</v>
      </c>
      <c r="L5" s="50" t="s">
        <v>31</v>
      </c>
      <c r="M5" s="50">
        <v>1177.5</v>
      </c>
      <c r="N5" s="50">
        <v>1570</v>
      </c>
      <c r="O5" s="50" t="s">
        <v>31</v>
      </c>
      <c r="P5" s="50" t="s">
        <v>33</v>
      </c>
      <c r="Q5" s="37">
        <v>4017.75</v>
      </c>
      <c r="R5" s="38" t="s">
        <v>31</v>
      </c>
      <c r="S5" s="49" t="s">
        <v>31</v>
      </c>
      <c r="T5" s="37" t="s">
        <v>93</v>
      </c>
      <c r="U5" s="38" t="s">
        <v>33</v>
      </c>
      <c r="V5" s="48"/>
      <c r="W5" s="52">
        <v>45078</v>
      </c>
      <c r="X5" s="23" t="s">
        <v>31</v>
      </c>
      <c r="Y5" s="38" t="s">
        <v>355</v>
      </c>
      <c r="Z5" s="48"/>
    </row>
    <row r="6" spans="1:26" x14ac:dyDescent="0.25">
      <c r="A6" s="37" t="s">
        <v>351</v>
      </c>
      <c r="B6" s="38" t="s">
        <v>181</v>
      </c>
      <c r="C6" s="38" t="s">
        <v>26</v>
      </c>
      <c r="D6" s="38" t="s">
        <v>352</v>
      </c>
      <c r="E6" s="38" t="s">
        <v>353</v>
      </c>
      <c r="F6" s="38">
        <v>2023</v>
      </c>
      <c r="G6" s="23" t="s">
        <v>46</v>
      </c>
      <c r="H6" s="23" t="s">
        <v>150</v>
      </c>
      <c r="I6" s="25" t="s">
        <v>31</v>
      </c>
      <c r="J6" s="50" t="s">
        <v>185</v>
      </c>
      <c r="K6" s="50" t="s">
        <v>31</v>
      </c>
      <c r="L6" s="50" t="s">
        <v>31</v>
      </c>
      <c r="M6" s="50">
        <v>1177.5</v>
      </c>
      <c r="N6" s="50">
        <v>1570</v>
      </c>
      <c r="O6" s="50" t="s">
        <v>31</v>
      </c>
      <c r="P6" s="50" t="s">
        <v>33</v>
      </c>
      <c r="Q6" s="37">
        <v>4017.75</v>
      </c>
      <c r="R6" s="38" t="s">
        <v>31</v>
      </c>
      <c r="S6" s="49" t="s">
        <v>31</v>
      </c>
      <c r="T6" s="37" t="s">
        <v>93</v>
      </c>
      <c r="U6" s="38" t="s">
        <v>33</v>
      </c>
      <c r="V6" s="48"/>
      <c r="W6" s="52">
        <v>45078</v>
      </c>
      <c r="X6" s="23" t="s">
        <v>31</v>
      </c>
      <c r="Y6" s="38" t="s">
        <v>355</v>
      </c>
      <c r="Z6" s="48"/>
    </row>
    <row r="7" spans="1:26" x14ac:dyDescent="0.25">
      <c r="A7" s="37" t="s">
        <v>351</v>
      </c>
      <c r="B7" s="38" t="s">
        <v>181</v>
      </c>
      <c r="C7" s="38" t="s">
        <v>26</v>
      </c>
      <c r="D7" s="38" t="s">
        <v>352</v>
      </c>
      <c r="E7" s="38" t="s">
        <v>353</v>
      </c>
      <c r="F7" s="38">
        <v>2023</v>
      </c>
      <c r="G7" s="23" t="s">
        <v>356</v>
      </c>
      <c r="H7" s="23" t="s">
        <v>49</v>
      </c>
      <c r="I7" s="25" t="s">
        <v>31</v>
      </c>
      <c r="J7" s="50" t="s">
        <v>185</v>
      </c>
      <c r="K7" s="50" t="s">
        <v>31</v>
      </c>
      <c r="L7" s="50" t="s">
        <v>31</v>
      </c>
      <c r="M7" s="50">
        <v>1177.5</v>
      </c>
      <c r="N7" s="50">
        <v>1570</v>
      </c>
      <c r="O7" s="50" t="s">
        <v>31</v>
      </c>
      <c r="P7" s="50" t="s">
        <v>33</v>
      </c>
      <c r="Q7" s="37">
        <v>4017.75</v>
      </c>
      <c r="R7" s="38" t="s">
        <v>31</v>
      </c>
      <c r="S7" s="49" t="s">
        <v>31</v>
      </c>
      <c r="T7" s="37" t="s">
        <v>93</v>
      </c>
      <c r="U7" s="38" t="s">
        <v>33</v>
      </c>
      <c r="V7" s="48"/>
      <c r="W7" s="52">
        <v>45078</v>
      </c>
      <c r="X7" s="23" t="s">
        <v>31</v>
      </c>
      <c r="Y7" s="38" t="s">
        <v>355</v>
      </c>
      <c r="Z7" s="48"/>
    </row>
    <row r="8" spans="1:26" x14ac:dyDescent="0.25">
      <c r="A8" s="37" t="s">
        <v>351</v>
      </c>
      <c r="B8" s="38" t="s">
        <v>181</v>
      </c>
      <c r="C8" s="38" t="s">
        <v>26</v>
      </c>
      <c r="D8" s="38" t="s">
        <v>352</v>
      </c>
      <c r="E8" s="38" t="s">
        <v>353</v>
      </c>
      <c r="F8" s="38">
        <v>2023</v>
      </c>
      <c r="G8" s="23" t="s">
        <v>46</v>
      </c>
      <c r="H8" s="23" t="s">
        <v>49</v>
      </c>
      <c r="I8" s="25" t="s">
        <v>31</v>
      </c>
      <c r="J8" s="50" t="s">
        <v>185</v>
      </c>
      <c r="K8" s="50" t="s">
        <v>31</v>
      </c>
      <c r="L8" s="50" t="s">
        <v>31</v>
      </c>
      <c r="M8" s="50">
        <v>1177.5</v>
      </c>
      <c r="N8" s="50">
        <v>1570</v>
      </c>
      <c r="O8" s="50" t="s">
        <v>31</v>
      </c>
      <c r="P8" s="50" t="s">
        <v>33</v>
      </c>
      <c r="Q8" s="37">
        <v>4017.75</v>
      </c>
      <c r="R8" s="38" t="s">
        <v>31</v>
      </c>
      <c r="S8" s="49" t="s">
        <v>31</v>
      </c>
      <c r="T8" s="37" t="s">
        <v>93</v>
      </c>
      <c r="U8" s="38" t="s">
        <v>33</v>
      </c>
      <c r="V8" s="48"/>
      <c r="W8" s="52">
        <v>45078</v>
      </c>
      <c r="X8" s="23" t="s">
        <v>31</v>
      </c>
      <c r="Y8" s="38" t="s">
        <v>355</v>
      </c>
      <c r="Z8" s="48"/>
    </row>
    <row r="9" spans="1:26" x14ac:dyDescent="0.25">
      <c r="A9" s="37" t="s">
        <v>351</v>
      </c>
      <c r="B9" s="38" t="s">
        <v>181</v>
      </c>
      <c r="C9" s="38" t="s">
        <v>26</v>
      </c>
      <c r="D9" s="38" t="s">
        <v>352</v>
      </c>
      <c r="E9" s="38" t="s">
        <v>353</v>
      </c>
      <c r="F9" s="38">
        <v>2023</v>
      </c>
      <c r="G9" s="65" t="s">
        <v>69</v>
      </c>
      <c r="H9" s="65" t="s">
        <v>53</v>
      </c>
      <c r="I9" s="25" t="s">
        <v>31</v>
      </c>
      <c r="J9" s="50" t="s">
        <v>185</v>
      </c>
      <c r="K9" s="50" t="s">
        <v>31</v>
      </c>
      <c r="L9" s="50" t="s">
        <v>31</v>
      </c>
      <c r="M9" s="50">
        <v>2355</v>
      </c>
      <c r="N9" s="50">
        <v>3140</v>
      </c>
      <c r="O9" s="50" t="s">
        <v>31</v>
      </c>
      <c r="P9" s="50" t="s">
        <v>33</v>
      </c>
      <c r="Q9" s="37">
        <v>8035.5</v>
      </c>
      <c r="R9" s="38" t="s">
        <v>31</v>
      </c>
      <c r="S9" s="49" t="s">
        <v>31</v>
      </c>
      <c r="T9" s="37" t="s">
        <v>93</v>
      </c>
      <c r="U9" s="38" t="s">
        <v>33</v>
      </c>
      <c r="V9" s="48"/>
      <c r="W9" s="52">
        <v>45078</v>
      </c>
      <c r="X9" s="23" t="s">
        <v>31</v>
      </c>
      <c r="Y9" s="38" t="s">
        <v>355</v>
      </c>
      <c r="Z9" s="48"/>
    </row>
    <row r="10" spans="1:26" x14ac:dyDescent="0.25">
      <c r="A10" s="37" t="s">
        <v>351</v>
      </c>
      <c r="B10" s="38" t="s">
        <v>357</v>
      </c>
      <c r="C10" s="38" t="s">
        <v>243</v>
      </c>
      <c r="D10" s="38" t="s">
        <v>358</v>
      </c>
      <c r="E10" s="38" t="s">
        <v>359</v>
      </c>
      <c r="F10" s="38">
        <v>2023</v>
      </c>
      <c r="G10" s="53" t="s">
        <v>43</v>
      </c>
      <c r="H10" s="23" t="s">
        <v>59</v>
      </c>
      <c r="I10" s="22" t="s">
        <v>31</v>
      </c>
      <c r="J10" s="39" t="s">
        <v>275</v>
      </c>
      <c r="K10" s="22">
        <v>1</v>
      </c>
      <c r="L10" s="22" t="s">
        <v>31</v>
      </c>
      <c r="M10" s="54">
        <v>4500</v>
      </c>
      <c r="N10" s="54">
        <v>5000</v>
      </c>
      <c r="O10" s="22" t="s">
        <v>31</v>
      </c>
      <c r="P10" s="39" t="s">
        <v>33</v>
      </c>
      <c r="Q10" s="38">
        <v>24000</v>
      </c>
      <c r="R10" s="38">
        <v>2</v>
      </c>
      <c r="S10" s="22" t="s">
        <v>31</v>
      </c>
      <c r="T10" s="38" t="s">
        <v>93</v>
      </c>
      <c r="U10" s="38" t="s">
        <v>33</v>
      </c>
      <c r="V10" s="22" t="s">
        <v>31</v>
      </c>
      <c r="W10" s="55">
        <v>45078</v>
      </c>
      <c r="X10" s="23" t="s">
        <v>31</v>
      </c>
      <c r="Y10" s="38" t="s">
        <v>360</v>
      </c>
      <c r="Z10" s="44"/>
    </row>
    <row r="11" spans="1:26" x14ac:dyDescent="0.25">
      <c r="A11" s="37" t="s">
        <v>351</v>
      </c>
      <c r="B11" s="38" t="s">
        <v>357</v>
      </c>
      <c r="C11" s="38" t="s">
        <v>243</v>
      </c>
      <c r="D11" s="38" t="s">
        <v>358</v>
      </c>
      <c r="E11" s="38" t="s">
        <v>359</v>
      </c>
      <c r="F11" s="38">
        <v>2023</v>
      </c>
      <c r="G11" s="53" t="s">
        <v>361</v>
      </c>
      <c r="H11" s="23" t="s">
        <v>81</v>
      </c>
      <c r="I11" s="23" t="s">
        <v>31</v>
      </c>
      <c r="J11" s="38" t="s">
        <v>275</v>
      </c>
      <c r="K11" s="23">
        <v>1</v>
      </c>
      <c r="L11" s="23" t="s">
        <v>31</v>
      </c>
      <c r="M11" s="29">
        <v>4500</v>
      </c>
      <c r="N11" s="29">
        <v>5000</v>
      </c>
      <c r="O11" s="23" t="s">
        <v>31</v>
      </c>
      <c r="P11" s="38" t="s">
        <v>33</v>
      </c>
      <c r="Q11" s="38">
        <v>24000</v>
      </c>
      <c r="R11" s="38">
        <v>2</v>
      </c>
      <c r="S11" s="23" t="s">
        <v>31</v>
      </c>
      <c r="T11" s="38" t="s">
        <v>93</v>
      </c>
      <c r="U11" s="38" t="s">
        <v>33</v>
      </c>
      <c r="V11" s="23" t="s">
        <v>31</v>
      </c>
      <c r="W11" s="55">
        <v>45078</v>
      </c>
      <c r="X11" s="23" t="s">
        <v>31</v>
      </c>
      <c r="Y11" s="38" t="s">
        <v>360</v>
      </c>
      <c r="Z11" s="44"/>
    </row>
    <row r="12" spans="1:26" x14ac:dyDescent="0.25">
      <c r="A12" s="37" t="s">
        <v>351</v>
      </c>
      <c r="B12" s="38" t="s">
        <v>357</v>
      </c>
      <c r="C12" s="38" t="s">
        <v>243</v>
      </c>
      <c r="D12" s="38" t="s">
        <v>358</v>
      </c>
      <c r="E12" s="38" t="s">
        <v>359</v>
      </c>
      <c r="F12" s="38">
        <v>2023</v>
      </c>
      <c r="G12" s="65" t="s">
        <v>362</v>
      </c>
      <c r="H12" s="65" t="s">
        <v>53</v>
      </c>
      <c r="I12" s="23" t="s">
        <v>31</v>
      </c>
      <c r="J12" s="38" t="s">
        <v>275</v>
      </c>
      <c r="K12" s="23">
        <v>1</v>
      </c>
      <c r="L12" s="23" t="s">
        <v>31</v>
      </c>
      <c r="M12" s="29">
        <v>4500</v>
      </c>
      <c r="N12" s="29">
        <v>5000</v>
      </c>
      <c r="O12" s="23" t="s">
        <v>31</v>
      </c>
      <c r="P12" s="38" t="s">
        <v>33</v>
      </c>
      <c r="Q12" s="38">
        <v>24000</v>
      </c>
      <c r="R12" s="38">
        <v>2</v>
      </c>
      <c r="S12" s="23" t="s">
        <v>31</v>
      </c>
      <c r="T12" s="38" t="s">
        <v>93</v>
      </c>
      <c r="U12" s="38" t="s">
        <v>33</v>
      </c>
      <c r="V12" s="23" t="s">
        <v>31</v>
      </c>
      <c r="W12" s="55">
        <v>45078</v>
      </c>
      <c r="X12" s="23" t="s">
        <v>31</v>
      </c>
      <c r="Y12" s="38" t="s">
        <v>360</v>
      </c>
      <c r="Z12" s="44"/>
    </row>
    <row r="13" spans="1:26" x14ac:dyDescent="0.25">
      <c r="A13" s="37" t="s">
        <v>351</v>
      </c>
      <c r="B13" s="38" t="s">
        <v>357</v>
      </c>
      <c r="C13" s="38" t="s">
        <v>243</v>
      </c>
      <c r="D13" s="38" t="s">
        <v>358</v>
      </c>
      <c r="E13" s="38" t="s">
        <v>359</v>
      </c>
      <c r="F13" s="38">
        <v>2023</v>
      </c>
      <c r="G13" s="23" t="s">
        <v>304</v>
      </c>
      <c r="H13" s="23" t="s">
        <v>51</v>
      </c>
      <c r="I13" s="23" t="s">
        <v>31</v>
      </c>
      <c r="J13" s="38" t="s">
        <v>275</v>
      </c>
      <c r="K13" s="23">
        <v>1</v>
      </c>
      <c r="L13" s="23" t="s">
        <v>31</v>
      </c>
      <c r="M13" s="56">
        <v>4500</v>
      </c>
      <c r="N13" s="29">
        <v>5000</v>
      </c>
      <c r="O13" s="23" t="s">
        <v>31</v>
      </c>
      <c r="P13" s="38" t="s">
        <v>33</v>
      </c>
      <c r="Q13" s="38">
        <v>24000</v>
      </c>
      <c r="R13" s="38">
        <v>2</v>
      </c>
      <c r="S13" s="23" t="s">
        <v>31</v>
      </c>
      <c r="T13" s="38" t="s">
        <v>93</v>
      </c>
      <c r="U13" s="38" t="s">
        <v>33</v>
      </c>
      <c r="V13" s="23" t="s">
        <v>31</v>
      </c>
      <c r="W13" s="55">
        <v>45078</v>
      </c>
      <c r="X13" s="23" t="s">
        <v>31</v>
      </c>
      <c r="Y13" s="38" t="s">
        <v>360</v>
      </c>
      <c r="Z13" s="44"/>
    </row>
    <row r="14" spans="1:26" x14ac:dyDescent="0.25">
      <c r="A14" s="37" t="s">
        <v>351</v>
      </c>
      <c r="B14" s="38" t="s">
        <v>357</v>
      </c>
      <c r="C14" s="38" t="s">
        <v>243</v>
      </c>
      <c r="D14" s="38" t="s">
        <v>358</v>
      </c>
      <c r="E14" s="38" t="s">
        <v>359</v>
      </c>
      <c r="F14" s="38">
        <v>2023</v>
      </c>
      <c r="G14" s="23" t="s">
        <v>46</v>
      </c>
      <c r="H14" s="23" t="s">
        <v>150</v>
      </c>
      <c r="I14" s="23" t="s">
        <v>31</v>
      </c>
      <c r="J14" s="38" t="s">
        <v>275</v>
      </c>
      <c r="K14" s="23">
        <v>1</v>
      </c>
      <c r="L14" s="23" t="s">
        <v>31</v>
      </c>
      <c r="M14" s="29">
        <v>4500</v>
      </c>
      <c r="N14" s="29">
        <v>5000</v>
      </c>
      <c r="O14" s="23" t="s">
        <v>31</v>
      </c>
      <c r="P14" s="38" t="s">
        <v>33</v>
      </c>
      <c r="Q14" s="38">
        <v>24000</v>
      </c>
      <c r="R14" s="38">
        <v>2</v>
      </c>
      <c r="S14" s="23" t="s">
        <v>31</v>
      </c>
      <c r="T14" s="38" t="s">
        <v>93</v>
      </c>
      <c r="U14" s="38" t="s">
        <v>33</v>
      </c>
      <c r="V14" s="23" t="s">
        <v>31</v>
      </c>
      <c r="W14" s="55">
        <v>45078</v>
      </c>
      <c r="X14" s="23" t="s">
        <v>31</v>
      </c>
      <c r="Y14" s="38" t="s">
        <v>360</v>
      </c>
      <c r="Z14" s="44"/>
    </row>
    <row r="15" spans="1:26" x14ac:dyDescent="0.25">
      <c r="A15" s="37" t="s">
        <v>351</v>
      </c>
      <c r="B15" s="38" t="s">
        <v>357</v>
      </c>
      <c r="C15" s="38" t="s">
        <v>243</v>
      </c>
      <c r="D15" s="38" t="s">
        <v>358</v>
      </c>
      <c r="E15" s="38" t="s">
        <v>359</v>
      </c>
      <c r="F15" s="38">
        <v>2023</v>
      </c>
      <c r="G15" s="23" t="s">
        <v>46</v>
      </c>
      <c r="H15" s="23" t="s">
        <v>49</v>
      </c>
      <c r="I15" s="23" t="s">
        <v>31</v>
      </c>
      <c r="J15" s="38" t="s">
        <v>275</v>
      </c>
      <c r="K15" s="23">
        <v>1</v>
      </c>
      <c r="L15" s="23" t="s">
        <v>31</v>
      </c>
      <c r="M15" s="29">
        <v>4500</v>
      </c>
      <c r="N15" s="29">
        <v>5000</v>
      </c>
      <c r="O15" s="23" t="s">
        <v>31</v>
      </c>
      <c r="P15" s="38" t="s">
        <v>33</v>
      </c>
      <c r="Q15" s="38">
        <v>33600</v>
      </c>
      <c r="R15" s="38">
        <v>2</v>
      </c>
      <c r="S15" s="23" t="s">
        <v>31</v>
      </c>
      <c r="T15" s="38" t="s">
        <v>93</v>
      </c>
      <c r="U15" s="38" t="s">
        <v>33</v>
      </c>
      <c r="V15" s="23" t="s">
        <v>31</v>
      </c>
      <c r="W15" s="55">
        <v>45078</v>
      </c>
      <c r="X15" s="23" t="s">
        <v>31</v>
      </c>
      <c r="Y15" s="38" t="s">
        <v>360</v>
      </c>
      <c r="Z15" s="44"/>
    </row>
    <row r="16" spans="1:26" x14ac:dyDescent="0.25">
      <c r="A16" s="37" t="s">
        <v>351</v>
      </c>
      <c r="B16" s="38" t="s">
        <v>357</v>
      </c>
      <c r="C16" s="38" t="s">
        <v>243</v>
      </c>
      <c r="D16" s="38" t="s">
        <v>358</v>
      </c>
      <c r="E16" s="38" t="s">
        <v>359</v>
      </c>
      <c r="F16" s="38">
        <v>2023</v>
      </c>
      <c r="G16" s="23" t="s">
        <v>356</v>
      </c>
      <c r="H16" s="23" t="s">
        <v>49</v>
      </c>
      <c r="I16" s="23" t="s">
        <v>31</v>
      </c>
      <c r="J16" s="38" t="s">
        <v>275</v>
      </c>
      <c r="K16" s="23">
        <v>1</v>
      </c>
      <c r="L16" s="23" t="s">
        <v>31</v>
      </c>
      <c r="M16" s="29">
        <v>4500</v>
      </c>
      <c r="N16" s="29">
        <v>5000</v>
      </c>
      <c r="O16" s="23" t="s">
        <v>31</v>
      </c>
      <c r="P16" s="38" t="s">
        <v>33</v>
      </c>
      <c r="Q16" s="38">
        <v>33600</v>
      </c>
      <c r="R16" s="38">
        <v>2</v>
      </c>
      <c r="S16" s="23" t="s">
        <v>31</v>
      </c>
      <c r="T16" s="38" t="s">
        <v>93</v>
      </c>
      <c r="U16" s="38" t="s">
        <v>33</v>
      </c>
      <c r="V16" s="23" t="s">
        <v>31</v>
      </c>
      <c r="W16" s="55">
        <v>45078</v>
      </c>
      <c r="X16" s="23" t="s">
        <v>31</v>
      </c>
      <c r="Y16" s="38" t="s">
        <v>360</v>
      </c>
      <c r="Z16" s="44"/>
    </row>
    <row r="17" spans="1:26" x14ac:dyDescent="0.25">
      <c r="A17" s="48"/>
      <c r="B17" s="48"/>
      <c r="C17" s="48"/>
      <c r="D17" s="48"/>
      <c r="E17" s="48"/>
      <c r="F17" s="48"/>
      <c r="G17" s="48"/>
      <c r="H17" s="48"/>
      <c r="I17" s="48"/>
      <c r="J17" s="48"/>
      <c r="K17" s="48"/>
      <c r="L17" s="48"/>
      <c r="M17" s="48"/>
      <c r="N17" s="48"/>
      <c r="O17" s="48"/>
      <c r="P17" s="48"/>
      <c r="Q17" s="48"/>
      <c r="R17" s="48"/>
      <c r="S17" s="48"/>
      <c r="T17" s="37" t="s">
        <v>31</v>
      </c>
      <c r="U17" s="48"/>
      <c r="V17" s="48"/>
      <c r="W17" s="48"/>
      <c r="X17" s="48"/>
      <c r="Y17" s="48"/>
      <c r="Z17" s="48"/>
    </row>
  </sheetData>
  <autoFilter ref="A1:Y1" xr:uid="{B31C8122-191C-4CFE-BC0E-BD5A8E45B7C3}"/>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2BF3-7FB0-4021-8EEB-37E3412E11DF}">
  <dimension ref="A1:P1"/>
  <sheetViews>
    <sheetView tabSelected="1" workbookViewId="0">
      <selection activeCell="H17" sqref="H17"/>
    </sheetView>
  </sheetViews>
  <sheetFormatPr baseColWidth="10" defaultRowHeight="15" x14ac:dyDescent="0.25"/>
  <cols>
    <col min="1" max="1" width="12.7109375" customWidth="1"/>
    <col min="2" max="2" width="20.7109375" customWidth="1"/>
    <col min="3" max="3" width="15.7109375" customWidth="1"/>
    <col min="6" max="6" width="15.28515625" customWidth="1"/>
    <col min="7" max="7" width="24.28515625" customWidth="1"/>
    <col min="8" max="8" width="21.7109375" customWidth="1"/>
    <col min="9" max="9" width="21" customWidth="1"/>
    <col min="10" max="10" width="45.140625" customWidth="1"/>
    <col min="11" max="11" width="19.42578125" customWidth="1"/>
    <col min="12" max="12" width="44.7109375" customWidth="1"/>
    <col min="14" max="14" width="19.7109375" customWidth="1"/>
    <col min="15" max="15" width="16.85546875" customWidth="1"/>
  </cols>
  <sheetData>
    <row r="1" spans="1:16" ht="63.75" x14ac:dyDescent="0.25">
      <c r="A1" s="240" t="s">
        <v>365</v>
      </c>
      <c r="B1" s="240" t="s">
        <v>2</v>
      </c>
      <c r="C1" s="240" t="s">
        <v>6</v>
      </c>
      <c r="D1" s="240" t="s">
        <v>9</v>
      </c>
      <c r="E1" s="240" t="s">
        <v>10</v>
      </c>
      <c r="F1" s="240" t="s">
        <v>367</v>
      </c>
      <c r="G1" s="240" t="s">
        <v>11</v>
      </c>
      <c r="H1" s="240" t="s">
        <v>12</v>
      </c>
      <c r="I1" s="241" t="s">
        <v>13</v>
      </c>
      <c r="J1" s="241" t="s">
        <v>368</v>
      </c>
      <c r="K1" s="240" t="s">
        <v>14</v>
      </c>
      <c r="L1" s="240" t="s">
        <v>369</v>
      </c>
      <c r="M1" s="240" t="s">
        <v>15</v>
      </c>
      <c r="N1" s="240" t="s">
        <v>16</v>
      </c>
      <c r="O1" s="240" t="s">
        <v>17</v>
      </c>
      <c r="P1" s="242" t="s">
        <v>375</v>
      </c>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7C39-077D-4BB1-9AC8-3A9C63C77273}">
  <dimension ref="A1:AS25"/>
  <sheetViews>
    <sheetView workbookViewId="0">
      <selection activeCell="E13" sqref="E13"/>
    </sheetView>
  </sheetViews>
  <sheetFormatPr baseColWidth="10" defaultColWidth="11.42578125" defaultRowHeight="15" x14ac:dyDescent="0.25"/>
  <cols>
    <col min="1" max="1" width="28.7109375" bestFit="1" customWidth="1"/>
    <col min="4" max="4" width="13" bestFit="1" customWidth="1"/>
    <col min="5" max="6" width="13" customWidth="1"/>
    <col min="7" max="7" width="17.7109375" customWidth="1"/>
  </cols>
  <sheetData>
    <row r="1" spans="1:45" x14ac:dyDescent="0.25">
      <c r="D1" t="s">
        <v>414</v>
      </c>
      <c r="G1">
        <v>4100</v>
      </c>
    </row>
    <row r="3" spans="1:45" ht="30" x14ac:dyDescent="0.25">
      <c r="A3" s="168" t="s">
        <v>415</v>
      </c>
      <c r="B3" s="168" t="s">
        <v>416</v>
      </c>
      <c r="C3" s="168" t="s">
        <v>417</v>
      </c>
      <c r="D3" s="169" t="s">
        <v>418</v>
      </c>
      <c r="E3" s="168" t="s">
        <v>419</v>
      </c>
      <c r="F3" s="169" t="s">
        <v>420</v>
      </c>
      <c r="G3" s="168" t="s">
        <v>421</v>
      </c>
    </row>
    <row r="4" spans="1:45" x14ac:dyDescent="0.25">
      <c r="A4" s="170" t="s">
        <v>363</v>
      </c>
      <c r="B4" s="171">
        <v>300</v>
      </c>
      <c r="C4" s="171">
        <v>1</v>
      </c>
      <c r="D4" s="172">
        <v>6132</v>
      </c>
      <c r="E4" s="172">
        <v>352.4390243902439</v>
      </c>
      <c r="F4" s="172">
        <v>4878.0487804878048</v>
      </c>
      <c r="G4" s="172">
        <v>11362.487804878048</v>
      </c>
      <c r="AS4" t="str">
        <f>IF(AR4=300,AQ4*'BU FACILITIES'!$G$4, IF(AND(AR4&gt;=300,AR4&lt;500), AQ4*#REF!, IF(AND(AR4&gt;=500,AR4&lt;1250), AQ4*#REF!, IF(AND(AR4&gt;=1250,AR4&lt;2000),AQ4*#REF!, IF(AR4&gt;=2000,AQ4*#REF!, "")))))</f>
        <v/>
      </c>
    </row>
    <row r="5" spans="1:45" x14ac:dyDescent="0.25">
      <c r="A5" s="170" t="s">
        <v>363</v>
      </c>
      <c r="B5" s="171">
        <v>500</v>
      </c>
      <c r="C5" s="171">
        <v>1</v>
      </c>
      <c r="D5" s="172">
        <v>7227</v>
      </c>
      <c r="E5" s="172">
        <v>352.4390243902439</v>
      </c>
      <c r="F5" s="172">
        <v>4878.0487804878048</v>
      </c>
      <c r="G5" s="172">
        <v>12457.487804878048</v>
      </c>
    </row>
    <row r="6" spans="1:45" x14ac:dyDescent="0.25">
      <c r="A6" s="170" t="s">
        <v>363</v>
      </c>
      <c r="B6" s="171">
        <v>1250</v>
      </c>
      <c r="C6" s="171">
        <v>1</v>
      </c>
      <c r="D6" s="172">
        <v>13352</v>
      </c>
      <c r="E6" s="172">
        <v>352.4390243902439</v>
      </c>
      <c r="F6" s="172">
        <v>4878.0487804878048</v>
      </c>
      <c r="G6" s="172">
        <v>18582.487804878048</v>
      </c>
    </row>
    <row r="7" spans="1:45" x14ac:dyDescent="0.25">
      <c r="A7" s="170" t="s">
        <v>363</v>
      </c>
      <c r="B7" s="171">
        <v>2000</v>
      </c>
      <c r="C7" s="171">
        <v>1</v>
      </c>
      <c r="D7" s="172">
        <v>18632</v>
      </c>
      <c r="E7" s="172">
        <v>352.4390243902439</v>
      </c>
      <c r="F7" s="172">
        <v>4878.0487804878048</v>
      </c>
      <c r="G7" s="172">
        <v>23862.487804878052</v>
      </c>
    </row>
    <row r="8" spans="1:45" x14ac:dyDescent="0.25">
      <c r="A8" s="170" t="s">
        <v>364</v>
      </c>
      <c r="B8" s="171">
        <v>100</v>
      </c>
      <c r="C8" s="171">
        <v>1</v>
      </c>
      <c r="D8" s="172">
        <v>1230</v>
      </c>
      <c r="E8" s="172">
        <v>975.60975609756099</v>
      </c>
      <c r="F8" s="172">
        <v>121.95121951219512</v>
      </c>
      <c r="G8" s="172">
        <v>2327.560975609756</v>
      </c>
    </row>
    <row r="9" spans="1:45" x14ac:dyDescent="0.25">
      <c r="A9" s="170" t="s">
        <v>364</v>
      </c>
      <c r="B9" s="171">
        <v>500</v>
      </c>
      <c r="C9" s="171">
        <v>1</v>
      </c>
      <c r="D9" s="172">
        <v>4517.1487179487185</v>
      </c>
      <c r="E9" s="172">
        <v>975.60975609756099</v>
      </c>
      <c r="F9" s="172">
        <v>3658.5365853658536</v>
      </c>
      <c r="G9" s="172">
        <v>9151.2950594121339</v>
      </c>
    </row>
    <row r="10" spans="1:45" x14ac:dyDescent="0.25">
      <c r="A10" s="170" t="s">
        <v>364</v>
      </c>
      <c r="B10" s="171">
        <v>800</v>
      </c>
      <c r="C10" s="171">
        <v>1</v>
      </c>
      <c r="D10" s="172">
        <v>10064.294871794871</v>
      </c>
      <c r="E10" s="172">
        <v>975.60975609756099</v>
      </c>
      <c r="F10" s="172">
        <v>3658.5365853658536</v>
      </c>
      <c r="G10" s="172">
        <v>14698.441213258286</v>
      </c>
    </row>
    <row r="11" spans="1:45" x14ac:dyDescent="0.25">
      <c r="A11" s="170" t="s">
        <v>364</v>
      </c>
      <c r="B11" s="171">
        <v>1000</v>
      </c>
      <c r="C11" s="171">
        <v>1</v>
      </c>
      <c r="D11" s="172">
        <v>8197.7641025641024</v>
      </c>
      <c r="E11" s="172">
        <v>975.60975609756099</v>
      </c>
      <c r="F11" s="172">
        <v>3658.5365853658536</v>
      </c>
      <c r="G11" s="172">
        <v>12831.910444027517</v>
      </c>
    </row>
    <row r="12" spans="1:45" x14ac:dyDescent="0.25">
      <c r="A12" s="170" t="s">
        <v>364</v>
      </c>
      <c r="B12" s="171">
        <v>1400</v>
      </c>
      <c r="C12" s="171">
        <v>1</v>
      </c>
      <c r="D12" s="172">
        <v>18807.5</v>
      </c>
      <c r="E12" s="172">
        <v>975.60975609756099</v>
      </c>
      <c r="F12" s="172">
        <v>3658.5365853658536</v>
      </c>
      <c r="G12" s="172">
        <v>23441.646341463416</v>
      </c>
    </row>
    <row r="13" spans="1:45" x14ac:dyDescent="0.25">
      <c r="A13" s="170" t="s">
        <v>364</v>
      </c>
      <c r="B13" s="171">
        <v>2000</v>
      </c>
      <c r="C13" s="171">
        <v>1</v>
      </c>
      <c r="D13" s="172">
        <v>16817.86</v>
      </c>
      <c r="E13" s="172">
        <v>975.60975609756099</v>
      </c>
      <c r="F13" s="172">
        <v>3658.5365853658536</v>
      </c>
      <c r="G13" s="172">
        <v>21452.006341463417</v>
      </c>
    </row>
    <row r="14" spans="1:45" x14ac:dyDescent="0.25">
      <c r="A14" s="170" t="s">
        <v>422</v>
      </c>
      <c r="B14" s="171">
        <v>45</v>
      </c>
      <c r="C14" s="171">
        <v>1</v>
      </c>
      <c r="D14" s="172">
        <v>8806</v>
      </c>
      <c r="E14" s="172">
        <v>9756.0975609756097</v>
      </c>
      <c r="F14" s="172">
        <v>0</v>
      </c>
      <c r="G14" s="172">
        <v>18562.09756097561</v>
      </c>
    </row>
    <row r="15" spans="1:45" x14ac:dyDescent="0.25">
      <c r="A15" t="s">
        <v>422</v>
      </c>
      <c r="B15" s="171">
        <v>30</v>
      </c>
      <c r="C15" s="171">
        <v>1</v>
      </c>
      <c r="D15" s="172">
        <v>8020</v>
      </c>
      <c r="E15" s="172">
        <v>9756.0975609756097</v>
      </c>
      <c r="F15" s="172">
        <v>0</v>
      </c>
      <c r="G15" s="172">
        <v>17776.09756097561</v>
      </c>
    </row>
    <row r="16" spans="1:45" x14ac:dyDescent="0.25">
      <c r="A16" s="173" t="s">
        <v>422</v>
      </c>
      <c r="B16" s="174">
        <v>450</v>
      </c>
      <c r="C16" s="174">
        <v>1</v>
      </c>
      <c r="D16" s="175"/>
      <c r="E16" s="175"/>
      <c r="F16" s="175"/>
      <c r="G16" s="175">
        <v>75800.829268292684</v>
      </c>
    </row>
    <row r="17" spans="1:7" x14ac:dyDescent="0.25">
      <c r="A17" s="170" t="s">
        <v>423</v>
      </c>
      <c r="B17" s="171">
        <v>5</v>
      </c>
      <c r="C17" s="171">
        <v>1</v>
      </c>
      <c r="D17" s="176">
        <v>5400</v>
      </c>
      <c r="E17" s="172">
        <v>8126.8292682926831</v>
      </c>
      <c r="F17" s="172">
        <v>0</v>
      </c>
      <c r="G17" s="172">
        <v>13526.829268292684</v>
      </c>
    </row>
    <row r="18" spans="1:7" x14ac:dyDescent="0.25">
      <c r="A18" s="170" t="s">
        <v>423</v>
      </c>
      <c r="B18" s="171">
        <v>10</v>
      </c>
      <c r="C18" s="171">
        <v>1</v>
      </c>
      <c r="D18" s="176">
        <v>6400</v>
      </c>
      <c r="E18" s="172">
        <v>8126.8292682926831</v>
      </c>
      <c r="F18" s="172">
        <v>0</v>
      </c>
      <c r="G18" s="172">
        <v>14526.829268292684</v>
      </c>
    </row>
    <row r="19" spans="1:7" x14ac:dyDescent="0.25">
      <c r="A19" s="170" t="s">
        <v>423</v>
      </c>
      <c r="B19" s="171">
        <v>20</v>
      </c>
      <c r="C19" s="171">
        <v>1</v>
      </c>
      <c r="D19" s="176">
        <v>14500</v>
      </c>
      <c r="E19" s="172">
        <v>8126.8292682926831</v>
      </c>
      <c r="F19" s="172">
        <v>0</v>
      </c>
      <c r="G19" s="172">
        <v>22626.829268292684</v>
      </c>
    </row>
    <row r="20" spans="1:7" x14ac:dyDescent="0.25">
      <c r="A20" s="170" t="s">
        <v>424</v>
      </c>
      <c r="B20" s="171"/>
      <c r="C20" s="171">
        <v>1</v>
      </c>
      <c r="D20" s="177">
        <v>9756.0975609756097</v>
      </c>
      <c r="E20" s="177">
        <v>0</v>
      </c>
      <c r="F20" s="177">
        <v>0</v>
      </c>
      <c r="G20" s="172">
        <v>9756.0975609756097</v>
      </c>
    </row>
    <row r="21" spans="1:7" x14ac:dyDescent="0.25">
      <c r="A21" s="170" t="s">
        <v>425</v>
      </c>
      <c r="B21" s="171"/>
      <c r="C21" s="171">
        <v>1</v>
      </c>
      <c r="D21" s="172">
        <v>1714.6341463414635</v>
      </c>
      <c r="E21" s="172"/>
      <c r="F21" s="172">
        <v>0</v>
      </c>
      <c r="G21" s="172">
        <f>+F21+D21</f>
        <v>1714.6341463414635</v>
      </c>
    </row>
    <row r="22" spans="1:7" x14ac:dyDescent="0.25">
      <c r="A22" s="170" t="s">
        <v>426</v>
      </c>
      <c r="B22" s="171"/>
      <c r="C22" s="171">
        <v>1</v>
      </c>
      <c r="D22" s="172">
        <v>870.73170731707319</v>
      </c>
      <c r="E22" s="172"/>
      <c r="F22" s="172"/>
      <c r="G22" s="172">
        <v>870.73170731707319</v>
      </c>
    </row>
    <row r="23" spans="1:7" x14ac:dyDescent="0.25">
      <c r="A23" s="170" t="s">
        <v>384</v>
      </c>
      <c r="B23" s="171"/>
      <c r="C23" s="171">
        <v>1</v>
      </c>
      <c r="D23" s="172">
        <v>24390.243902439026</v>
      </c>
      <c r="E23" s="172"/>
      <c r="F23" s="172"/>
      <c r="G23" s="172">
        <v>24390.243902439026</v>
      </c>
    </row>
    <row r="24" spans="1:7" x14ac:dyDescent="0.25">
      <c r="A24" s="170" t="s">
        <v>427</v>
      </c>
      <c r="B24" s="171"/>
      <c r="C24" s="171">
        <v>1</v>
      </c>
      <c r="D24" s="172">
        <v>9756.0975609756097</v>
      </c>
      <c r="E24" s="172"/>
      <c r="F24" s="172"/>
      <c r="G24" s="172">
        <v>9756.0975609756097</v>
      </c>
    </row>
    <row r="25" spans="1:7" x14ac:dyDescent="0.25">
      <c r="D25" s="178" t="s">
        <v>428</v>
      </c>
      <c r="E25" s="178"/>
      <c r="F25" s="178"/>
      <c r="G25" s="179">
        <f>SUM(G4:G24)</f>
        <v>359475.12866791745</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09273-5FD2-4AE6-B359-294350FD1669}">
  <sheetPr filterMode="1"/>
  <dimension ref="A1:BD52"/>
  <sheetViews>
    <sheetView topLeftCell="A16" workbookViewId="0">
      <selection activeCell="A16" sqref="A16"/>
    </sheetView>
  </sheetViews>
  <sheetFormatPr baseColWidth="10" defaultColWidth="9.140625" defaultRowHeight="15" x14ac:dyDescent="0.25"/>
  <cols>
    <col min="7" max="7" width="14.140625" customWidth="1"/>
    <col min="16" max="16" width="14.42578125" customWidth="1"/>
    <col min="18" max="18" width="13" customWidth="1"/>
    <col min="28" max="28" width="27.85546875" customWidth="1"/>
    <col min="29" max="29" width="32.42578125" customWidth="1"/>
  </cols>
  <sheetData>
    <row r="1" spans="1:31" ht="76.5" x14ac:dyDescent="0.25">
      <c r="A1" s="180" t="s">
        <v>0</v>
      </c>
      <c r="B1" s="180" t="s">
        <v>1</v>
      </c>
      <c r="C1" s="180" t="s">
        <v>2</v>
      </c>
      <c r="D1" s="180" t="s">
        <v>3</v>
      </c>
      <c r="E1" s="180" t="s">
        <v>4</v>
      </c>
      <c r="F1" s="180" t="s">
        <v>5</v>
      </c>
      <c r="G1" s="180" t="s">
        <v>6</v>
      </c>
      <c r="H1" s="180" t="s">
        <v>7</v>
      </c>
      <c r="I1" s="181" t="s">
        <v>8</v>
      </c>
      <c r="J1" s="180" t="s">
        <v>9</v>
      </c>
      <c r="K1" s="180" t="s">
        <v>10</v>
      </c>
      <c r="L1" s="180" t="s">
        <v>11</v>
      </c>
      <c r="M1" s="180" t="s">
        <v>12</v>
      </c>
      <c r="N1" s="182" t="s">
        <v>13</v>
      </c>
      <c r="O1" s="183" t="s">
        <v>177</v>
      </c>
      <c r="P1" s="183" t="s">
        <v>429</v>
      </c>
      <c r="Q1" s="183" t="s">
        <v>430</v>
      </c>
      <c r="R1" s="183" t="s">
        <v>431</v>
      </c>
      <c r="S1" s="180" t="s">
        <v>15</v>
      </c>
      <c r="T1" s="180" t="s">
        <v>16</v>
      </c>
      <c r="U1" s="180" t="s">
        <v>17</v>
      </c>
      <c r="V1" s="180" t="s">
        <v>18</v>
      </c>
      <c r="W1" s="180" t="s">
        <v>19</v>
      </c>
      <c r="X1" s="180" t="s">
        <v>15</v>
      </c>
      <c r="Y1" s="180" t="s">
        <v>20</v>
      </c>
      <c r="Z1" s="181" t="s">
        <v>21</v>
      </c>
      <c r="AA1" s="181" t="s">
        <v>178</v>
      </c>
      <c r="AB1" s="180" t="s">
        <v>179</v>
      </c>
      <c r="AC1" s="184" t="s">
        <v>373</v>
      </c>
      <c r="AD1" s="184" t="s">
        <v>432</v>
      </c>
      <c r="AE1" s="184" t="s">
        <v>375</v>
      </c>
    </row>
    <row r="2" spans="1:31" hidden="1" x14ac:dyDescent="0.25">
      <c r="A2" s="98" t="s">
        <v>24</v>
      </c>
      <c r="B2" s="98" t="s">
        <v>25</v>
      </c>
      <c r="C2" s="98" t="s">
        <v>26</v>
      </c>
      <c r="D2" s="98" t="s">
        <v>91</v>
      </c>
      <c r="E2" s="98" t="s">
        <v>28</v>
      </c>
      <c r="F2" s="98">
        <v>2023</v>
      </c>
      <c r="G2" s="99" t="s">
        <v>404</v>
      </c>
      <c r="H2" s="99" t="s">
        <v>52</v>
      </c>
      <c r="I2" s="99" t="s">
        <v>31</v>
      </c>
      <c r="J2" s="98" t="s">
        <v>32</v>
      </c>
      <c r="K2" s="99">
        <v>2</v>
      </c>
      <c r="L2" s="99">
        <v>1</v>
      </c>
      <c r="M2" s="99">
        <v>842</v>
      </c>
      <c r="N2" s="127">
        <v>1403</v>
      </c>
      <c r="O2" s="99" t="s">
        <v>31</v>
      </c>
      <c r="P2" s="23">
        <f t="shared" ref="P2:P27" si="0">SUMIF($G$3:$G$360,G2,$N$3:$N$360)</f>
        <v>4209</v>
      </c>
      <c r="Q2" s="214">
        <f t="shared" ref="Q2:Q27" si="1">N2/P2</f>
        <v>0.33333333333333331</v>
      </c>
      <c r="R2" s="126" t="e">
        <f>VLOOKUP(G2,#REF!,11,0)*Q2</f>
        <v>#REF!</v>
      </c>
      <c r="S2" s="98" t="s">
        <v>33</v>
      </c>
      <c r="T2" s="98" t="s">
        <v>31</v>
      </c>
      <c r="U2" s="98">
        <v>2</v>
      </c>
      <c r="V2" s="99">
        <v>0</v>
      </c>
      <c r="W2" s="99">
        <v>0</v>
      </c>
      <c r="X2" s="98" t="s">
        <v>33</v>
      </c>
      <c r="Y2" s="99">
        <v>3</v>
      </c>
      <c r="Z2" s="99" t="s">
        <v>34</v>
      </c>
      <c r="AA2" s="99" t="s">
        <v>31</v>
      </c>
      <c r="AB2" s="98" t="s">
        <v>31</v>
      </c>
      <c r="AC2" s="185" t="s">
        <v>433</v>
      </c>
      <c r="AD2" s="185">
        <v>5</v>
      </c>
      <c r="AE2" s="185" t="s">
        <v>403</v>
      </c>
    </row>
    <row r="3" spans="1:31" hidden="1" x14ac:dyDescent="0.25">
      <c r="A3" s="98" t="s">
        <v>24</v>
      </c>
      <c r="B3" s="98" t="s">
        <v>25</v>
      </c>
      <c r="C3" s="98" t="s">
        <v>26</v>
      </c>
      <c r="D3" s="98" t="s">
        <v>91</v>
      </c>
      <c r="E3" s="98" t="s">
        <v>28</v>
      </c>
      <c r="F3" s="98">
        <v>2023</v>
      </c>
      <c r="G3" s="99" t="s">
        <v>61</v>
      </c>
      <c r="H3" s="99" t="s">
        <v>62</v>
      </c>
      <c r="I3" s="99" t="s">
        <v>31</v>
      </c>
      <c r="J3" s="98" t="s">
        <v>32</v>
      </c>
      <c r="K3" s="99">
        <v>2</v>
      </c>
      <c r="L3" s="99">
        <v>1</v>
      </c>
      <c r="M3" s="99">
        <v>842</v>
      </c>
      <c r="N3" s="127">
        <v>1403</v>
      </c>
      <c r="O3" s="99" t="s">
        <v>31</v>
      </c>
      <c r="P3" s="23">
        <f t="shared" si="0"/>
        <v>7340</v>
      </c>
      <c r="Q3" s="214">
        <f t="shared" si="1"/>
        <v>0.19114441416893732</v>
      </c>
      <c r="R3" s="126" t="e">
        <f>VLOOKUP(G3,#REF!,11,0)*Q3</f>
        <v>#REF!</v>
      </c>
      <c r="S3" s="98" t="s">
        <v>33</v>
      </c>
      <c r="T3" s="98" t="s">
        <v>31</v>
      </c>
      <c r="U3" s="98">
        <v>2</v>
      </c>
      <c r="V3" s="99">
        <v>0</v>
      </c>
      <c r="W3" s="99">
        <v>0</v>
      </c>
      <c r="X3" s="98" t="s">
        <v>33</v>
      </c>
      <c r="Y3" s="99">
        <v>3</v>
      </c>
      <c r="Z3" s="99" t="s">
        <v>34</v>
      </c>
      <c r="AA3" s="99" t="s">
        <v>31</v>
      </c>
      <c r="AB3" s="98" t="s">
        <v>434</v>
      </c>
      <c r="AC3" s="185" t="s">
        <v>435</v>
      </c>
      <c r="AD3" s="185"/>
      <c r="AE3" s="185" t="s">
        <v>403</v>
      </c>
    </row>
    <row r="4" spans="1:31" hidden="1" x14ac:dyDescent="0.25">
      <c r="A4" s="98" t="s">
        <v>24</v>
      </c>
      <c r="B4" s="98" t="s">
        <v>25</v>
      </c>
      <c r="C4" s="98" t="s">
        <v>26</v>
      </c>
      <c r="D4" s="98" t="s">
        <v>91</v>
      </c>
      <c r="E4" s="98" t="s">
        <v>28</v>
      </c>
      <c r="F4" s="98">
        <v>2023</v>
      </c>
      <c r="G4" s="99" t="s">
        <v>73</v>
      </c>
      <c r="H4" s="100" t="s">
        <v>73</v>
      </c>
      <c r="I4" s="99" t="s">
        <v>31</v>
      </c>
      <c r="J4" s="98" t="s">
        <v>32</v>
      </c>
      <c r="K4" s="100">
        <v>2</v>
      </c>
      <c r="L4" s="100">
        <v>1</v>
      </c>
      <c r="M4" s="100">
        <v>842</v>
      </c>
      <c r="N4" s="128">
        <v>1403</v>
      </c>
      <c r="O4" s="100" t="s">
        <v>31</v>
      </c>
      <c r="P4" s="23">
        <f t="shared" si="0"/>
        <v>2806</v>
      </c>
      <c r="Q4" s="214">
        <f t="shared" si="1"/>
        <v>0.5</v>
      </c>
      <c r="R4" s="126" t="e">
        <f>VLOOKUP(G4,#REF!,11,0)*Q4</f>
        <v>#REF!</v>
      </c>
      <c r="S4" s="98" t="s">
        <v>33</v>
      </c>
      <c r="T4" s="98" t="s">
        <v>31</v>
      </c>
      <c r="U4" s="98">
        <v>2</v>
      </c>
      <c r="V4" s="99">
        <v>0</v>
      </c>
      <c r="W4" s="99">
        <v>0</v>
      </c>
      <c r="X4" s="98" t="s">
        <v>33</v>
      </c>
      <c r="Y4" s="99">
        <v>3</v>
      </c>
      <c r="Z4" s="99" t="s">
        <v>55</v>
      </c>
      <c r="AA4" s="99" t="s">
        <v>31</v>
      </c>
      <c r="AB4" s="98" t="s">
        <v>434</v>
      </c>
      <c r="AC4" s="185" t="s">
        <v>436</v>
      </c>
      <c r="AD4" s="185" t="s">
        <v>437</v>
      </c>
      <c r="AE4" s="185" t="s">
        <v>185</v>
      </c>
    </row>
    <row r="5" spans="1:31" hidden="1" x14ac:dyDescent="0.25">
      <c r="A5" s="98" t="s">
        <v>24</v>
      </c>
      <c r="B5" s="98" t="s">
        <v>25</v>
      </c>
      <c r="C5" s="98" t="s">
        <v>26</v>
      </c>
      <c r="D5" s="98" t="s">
        <v>91</v>
      </c>
      <c r="E5" s="98" t="s">
        <v>28</v>
      </c>
      <c r="F5" s="98">
        <v>2023</v>
      </c>
      <c r="G5" s="99" t="s">
        <v>76</v>
      </c>
      <c r="H5" s="100" t="s">
        <v>76</v>
      </c>
      <c r="I5" s="78" t="s">
        <v>31</v>
      </c>
      <c r="J5" s="98" t="s">
        <v>32</v>
      </c>
      <c r="K5" s="100">
        <v>2</v>
      </c>
      <c r="L5" s="100">
        <v>1</v>
      </c>
      <c r="M5" s="100">
        <v>842</v>
      </c>
      <c r="N5" s="128">
        <v>1403</v>
      </c>
      <c r="O5" s="100" t="s">
        <v>31</v>
      </c>
      <c r="P5" s="23">
        <f t="shared" si="0"/>
        <v>2806</v>
      </c>
      <c r="Q5" s="214">
        <f t="shared" si="1"/>
        <v>0.5</v>
      </c>
      <c r="R5" s="126" t="e">
        <f>VLOOKUP(G5,#REF!,11,0)*Q5</f>
        <v>#REF!</v>
      </c>
      <c r="S5" s="98" t="s">
        <v>33</v>
      </c>
      <c r="T5" s="98" t="s">
        <v>31</v>
      </c>
      <c r="U5" s="98">
        <v>2</v>
      </c>
      <c r="V5" s="99">
        <v>0</v>
      </c>
      <c r="W5" s="99">
        <v>0</v>
      </c>
      <c r="X5" s="98" t="s">
        <v>33</v>
      </c>
      <c r="Y5" s="99">
        <v>3</v>
      </c>
      <c r="Z5" s="99" t="s">
        <v>55</v>
      </c>
      <c r="AA5" s="99" t="s">
        <v>31</v>
      </c>
      <c r="AB5" s="98" t="s">
        <v>434</v>
      </c>
      <c r="AC5" s="185" t="s">
        <v>438</v>
      </c>
      <c r="AD5" s="185"/>
      <c r="AE5" s="185" t="s">
        <v>403</v>
      </c>
    </row>
    <row r="6" spans="1:31" hidden="1" x14ac:dyDescent="0.25">
      <c r="A6" s="98" t="s">
        <v>24</v>
      </c>
      <c r="B6" s="98" t="s">
        <v>25</v>
      </c>
      <c r="C6" s="98" t="s">
        <v>26</v>
      </c>
      <c r="D6" s="98" t="s">
        <v>91</v>
      </c>
      <c r="E6" s="98" t="s">
        <v>28</v>
      </c>
      <c r="F6" s="98">
        <v>2023</v>
      </c>
      <c r="G6" s="99" t="s">
        <v>404</v>
      </c>
      <c r="H6" s="99" t="s">
        <v>52</v>
      </c>
      <c r="I6" s="99" t="s">
        <v>31</v>
      </c>
      <c r="J6" s="98" t="s">
        <v>32</v>
      </c>
      <c r="K6" s="100">
        <v>2</v>
      </c>
      <c r="L6" s="100">
        <v>1</v>
      </c>
      <c r="M6" s="100">
        <v>842</v>
      </c>
      <c r="N6" s="128">
        <v>1403</v>
      </c>
      <c r="O6" s="100" t="s">
        <v>31</v>
      </c>
      <c r="P6" s="23">
        <f t="shared" si="0"/>
        <v>4209</v>
      </c>
      <c r="Q6" s="214">
        <f t="shared" si="1"/>
        <v>0.33333333333333331</v>
      </c>
      <c r="R6" s="126" t="e">
        <f>VLOOKUP(G6,#REF!,11,0)*Q6</f>
        <v>#REF!</v>
      </c>
      <c r="S6" s="98" t="s">
        <v>33</v>
      </c>
      <c r="T6" s="98" t="s">
        <v>31</v>
      </c>
      <c r="U6" s="98">
        <v>2</v>
      </c>
      <c r="V6" s="99">
        <v>0</v>
      </c>
      <c r="W6" s="99">
        <v>0</v>
      </c>
      <c r="X6" s="98" t="s">
        <v>33</v>
      </c>
      <c r="Y6" s="99">
        <v>3</v>
      </c>
      <c r="Z6" s="99" t="s">
        <v>34</v>
      </c>
      <c r="AA6" s="99" t="s">
        <v>31</v>
      </c>
      <c r="AB6" s="98" t="s">
        <v>434</v>
      </c>
      <c r="AC6" s="185" t="s">
        <v>439</v>
      </c>
      <c r="AD6" s="185">
        <v>5</v>
      </c>
      <c r="AE6" s="185" t="s">
        <v>403</v>
      </c>
    </row>
    <row r="7" spans="1:31" hidden="1" x14ac:dyDescent="0.25">
      <c r="A7" s="98" t="s">
        <v>78</v>
      </c>
      <c r="B7" s="98" t="s">
        <v>25</v>
      </c>
      <c r="C7" s="98" t="s">
        <v>26</v>
      </c>
      <c r="D7" s="98" t="s">
        <v>91</v>
      </c>
      <c r="E7" s="98" t="s">
        <v>79</v>
      </c>
      <c r="F7" s="98">
        <v>2023</v>
      </c>
      <c r="G7" s="99" t="s">
        <v>61</v>
      </c>
      <c r="H7" s="100" t="s">
        <v>62</v>
      </c>
      <c r="I7" s="99" t="s">
        <v>31</v>
      </c>
      <c r="J7" s="98" t="s">
        <v>32</v>
      </c>
      <c r="K7" s="100">
        <v>1</v>
      </c>
      <c r="L7" s="100">
        <v>4</v>
      </c>
      <c r="M7" s="101">
        <v>2267</v>
      </c>
      <c r="N7" s="128">
        <v>2267</v>
      </c>
      <c r="O7" s="100" t="s">
        <v>31</v>
      </c>
      <c r="P7" s="23">
        <f t="shared" si="0"/>
        <v>7340</v>
      </c>
      <c r="Q7" s="214">
        <f t="shared" si="1"/>
        <v>0.30885558583106265</v>
      </c>
      <c r="R7" s="126" t="e">
        <f>VLOOKUP(G7,#REF!,11,0)*Q7</f>
        <v>#REF!</v>
      </c>
      <c r="S7" s="98" t="s">
        <v>33</v>
      </c>
      <c r="T7" s="98" t="s">
        <v>31</v>
      </c>
      <c r="U7" s="98">
        <v>8</v>
      </c>
      <c r="V7" s="99">
        <v>0</v>
      </c>
      <c r="W7" s="99">
        <v>0</v>
      </c>
      <c r="X7" s="98" t="s">
        <v>33</v>
      </c>
      <c r="Y7" s="99">
        <v>1.5</v>
      </c>
      <c r="Z7" s="99" t="s">
        <v>34</v>
      </c>
      <c r="AA7" s="99" t="s">
        <v>31</v>
      </c>
      <c r="AB7" s="98" t="s">
        <v>31</v>
      </c>
      <c r="AC7" s="185" t="s">
        <v>440</v>
      </c>
      <c r="AD7" s="185"/>
      <c r="AE7" s="185" t="s">
        <v>403</v>
      </c>
    </row>
    <row r="8" spans="1:31" hidden="1" x14ac:dyDescent="0.25">
      <c r="A8" s="98" t="s">
        <v>90</v>
      </c>
      <c r="B8" s="98" t="s">
        <v>25</v>
      </c>
      <c r="C8" s="98" t="s">
        <v>26</v>
      </c>
      <c r="D8" s="98" t="s">
        <v>91</v>
      </c>
      <c r="E8" s="98" t="s">
        <v>92</v>
      </c>
      <c r="F8" s="98">
        <v>2023</v>
      </c>
      <c r="G8" s="100" t="s">
        <v>100</v>
      </c>
      <c r="H8" s="100" t="s">
        <v>57</v>
      </c>
      <c r="I8" s="100" t="s">
        <v>31</v>
      </c>
      <c r="J8" s="102" t="s">
        <v>32</v>
      </c>
      <c r="K8" s="100">
        <v>1</v>
      </c>
      <c r="L8" s="100">
        <v>6</v>
      </c>
      <c r="M8" s="100">
        <v>475</v>
      </c>
      <c r="N8" s="128">
        <v>2850</v>
      </c>
      <c r="O8" s="100" t="s">
        <v>31</v>
      </c>
      <c r="P8" s="23">
        <f t="shared" si="0"/>
        <v>5700</v>
      </c>
      <c r="Q8" s="214">
        <f t="shared" si="1"/>
        <v>0.5</v>
      </c>
      <c r="R8" s="126" t="e">
        <f>VLOOKUP(G8,#REF!,11,0)*Q8</f>
        <v>#REF!</v>
      </c>
      <c r="S8" s="102" t="s">
        <v>33</v>
      </c>
      <c r="T8" s="98">
        <v>1620.75</v>
      </c>
      <c r="U8" s="102">
        <v>2</v>
      </c>
      <c r="V8" s="100" t="s">
        <v>31</v>
      </c>
      <c r="W8" s="100" t="s">
        <v>31</v>
      </c>
      <c r="X8" s="98" t="s">
        <v>93</v>
      </c>
      <c r="Y8" s="102">
        <v>1.5</v>
      </c>
      <c r="Z8" s="102" t="s">
        <v>94</v>
      </c>
      <c r="AA8" s="102" t="s">
        <v>31</v>
      </c>
      <c r="AB8" s="102" t="s">
        <v>95</v>
      </c>
      <c r="AC8" s="185" t="s">
        <v>441</v>
      </c>
      <c r="AD8" s="185"/>
      <c r="AE8" s="185" t="s">
        <v>403</v>
      </c>
    </row>
    <row r="9" spans="1:31" hidden="1" x14ac:dyDescent="0.25">
      <c r="A9" s="103" t="s">
        <v>90</v>
      </c>
      <c r="B9" s="104" t="s">
        <v>25</v>
      </c>
      <c r="C9" s="104" t="s">
        <v>26</v>
      </c>
      <c r="D9" s="104" t="s">
        <v>91</v>
      </c>
      <c r="E9" s="104" t="s">
        <v>92</v>
      </c>
      <c r="F9" s="104">
        <v>2023</v>
      </c>
      <c r="G9" s="78" t="s">
        <v>138</v>
      </c>
      <c r="H9" s="78" t="s">
        <v>135</v>
      </c>
      <c r="I9" s="78" t="s">
        <v>31</v>
      </c>
      <c r="J9" s="104" t="s">
        <v>32</v>
      </c>
      <c r="K9" s="78">
        <v>1</v>
      </c>
      <c r="L9" s="78">
        <v>2</v>
      </c>
      <c r="M9" s="78">
        <v>475</v>
      </c>
      <c r="N9" s="130">
        <v>950</v>
      </c>
      <c r="O9" s="78" t="s">
        <v>31</v>
      </c>
      <c r="P9" s="23">
        <f t="shared" si="0"/>
        <v>1900</v>
      </c>
      <c r="Q9" s="214">
        <f t="shared" si="1"/>
        <v>0.5</v>
      </c>
      <c r="R9" s="126" t="e">
        <f>VLOOKUP(G9,#REF!,11,0)*Q9</f>
        <v>#REF!</v>
      </c>
      <c r="S9" s="104" t="s">
        <v>33</v>
      </c>
      <c r="T9" s="104">
        <v>1620.75</v>
      </c>
      <c r="U9" s="104">
        <v>2</v>
      </c>
      <c r="V9" s="78" t="s">
        <v>31</v>
      </c>
      <c r="W9" s="78" t="s">
        <v>31</v>
      </c>
      <c r="X9" s="105" t="s">
        <v>93</v>
      </c>
      <c r="Y9" s="103">
        <v>1.5</v>
      </c>
      <c r="Z9" s="106" t="s">
        <v>94</v>
      </c>
      <c r="AA9" s="107" t="s">
        <v>31</v>
      </c>
      <c r="AB9" s="103" t="s">
        <v>95</v>
      </c>
      <c r="AC9" s="185" t="s">
        <v>442</v>
      </c>
      <c r="AD9" s="185">
        <v>5</v>
      </c>
      <c r="AE9" s="185" t="s">
        <v>403</v>
      </c>
    </row>
    <row r="10" spans="1:31" hidden="1" x14ac:dyDescent="0.25">
      <c r="A10" s="154" t="s">
        <v>90</v>
      </c>
      <c r="B10" s="155" t="s">
        <v>25</v>
      </c>
      <c r="C10" s="155" t="s">
        <v>26</v>
      </c>
      <c r="D10" s="155" t="s">
        <v>91</v>
      </c>
      <c r="E10" s="155" t="s">
        <v>92</v>
      </c>
      <c r="F10" s="155">
        <v>2023</v>
      </c>
      <c r="G10" s="156" t="s">
        <v>142</v>
      </c>
      <c r="H10" s="156" t="s">
        <v>62</v>
      </c>
      <c r="I10" s="156" t="s">
        <v>31</v>
      </c>
      <c r="J10" s="155" t="s">
        <v>32</v>
      </c>
      <c r="K10" s="156">
        <v>1</v>
      </c>
      <c r="L10" s="156">
        <v>6</v>
      </c>
      <c r="M10" s="156">
        <v>475</v>
      </c>
      <c r="N10" s="157">
        <v>2850</v>
      </c>
      <c r="O10" s="156" t="s">
        <v>31</v>
      </c>
      <c r="P10" s="156">
        <f t="shared" si="0"/>
        <v>8100</v>
      </c>
      <c r="Q10" s="215">
        <f t="shared" si="1"/>
        <v>0.35185185185185186</v>
      </c>
      <c r="R10" s="216" t="e">
        <f>VLOOKUP(G10,#REF!,11,0)*Q10</f>
        <v>#REF!</v>
      </c>
      <c r="S10" s="155" t="s">
        <v>33</v>
      </c>
      <c r="T10" s="155">
        <v>1620.75</v>
      </c>
      <c r="U10" s="155">
        <v>2</v>
      </c>
      <c r="V10" s="156" t="s">
        <v>31</v>
      </c>
      <c r="W10" s="156" t="s">
        <v>31</v>
      </c>
      <c r="X10" s="155" t="s">
        <v>93</v>
      </c>
      <c r="Y10" s="155">
        <v>1.5</v>
      </c>
      <c r="Z10" s="155" t="s">
        <v>94</v>
      </c>
      <c r="AA10" s="155" t="s">
        <v>31</v>
      </c>
      <c r="AB10" s="155" t="s">
        <v>95</v>
      </c>
      <c r="AC10" s="186" t="s">
        <v>443</v>
      </c>
      <c r="AD10" s="186">
        <v>4</v>
      </c>
      <c r="AE10" s="186" t="s">
        <v>403</v>
      </c>
    </row>
    <row r="11" spans="1:31" hidden="1" x14ac:dyDescent="0.25">
      <c r="A11" s="103" t="s">
        <v>90</v>
      </c>
      <c r="B11" s="104" t="s">
        <v>25</v>
      </c>
      <c r="C11" s="104" t="s">
        <v>26</v>
      </c>
      <c r="D11" s="104" t="s">
        <v>91</v>
      </c>
      <c r="E11" s="104" t="s">
        <v>92</v>
      </c>
      <c r="F11" s="104">
        <v>2023</v>
      </c>
      <c r="G11" s="78" t="s">
        <v>145</v>
      </c>
      <c r="H11" s="78" t="s">
        <v>146</v>
      </c>
      <c r="I11" s="78" t="s">
        <v>31</v>
      </c>
      <c r="J11" s="104" t="s">
        <v>444</v>
      </c>
      <c r="K11" s="78">
        <v>1</v>
      </c>
      <c r="L11" s="78">
        <v>6</v>
      </c>
      <c r="M11" s="78">
        <v>475</v>
      </c>
      <c r="N11" s="132">
        <v>2850</v>
      </c>
      <c r="O11" s="78" t="s">
        <v>31</v>
      </c>
      <c r="P11" s="23">
        <f t="shared" si="0"/>
        <v>5700</v>
      </c>
      <c r="Q11" s="214">
        <f t="shared" si="1"/>
        <v>0.5</v>
      </c>
      <c r="R11" s="126" t="e">
        <f>VLOOKUP(G11,#REF!,11,0)*Q11</f>
        <v>#REF!</v>
      </c>
      <c r="S11" s="104" t="s">
        <v>33</v>
      </c>
      <c r="T11" s="104">
        <v>1620.75</v>
      </c>
      <c r="U11" s="104">
        <v>2</v>
      </c>
      <c r="V11" s="78" t="s">
        <v>31</v>
      </c>
      <c r="W11" s="78" t="s">
        <v>31</v>
      </c>
      <c r="X11" s="104" t="s">
        <v>93</v>
      </c>
      <c r="Y11" s="104">
        <v>1.5</v>
      </c>
      <c r="Z11" s="104" t="s">
        <v>94</v>
      </c>
      <c r="AA11" s="104" t="s">
        <v>31</v>
      </c>
      <c r="AB11" s="104" t="s">
        <v>95</v>
      </c>
      <c r="AC11" s="185" t="s">
        <v>445</v>
      </c>
      <c r="AD11" s="185">
        <v>4</v>
      </c>
      <c r="AE11" s="185" t="s">
        <v>185</v>
      </c>
    </row>
    <row r="12" spans="1:31" hidden="1" x14ac:dyDescent="0.25">
      <c r="A12" s="103" t="s">
        <v>90</v>
      </c>
      <c r="B12" s="104" t="s">
        <v>25</v>
      </c>
      <c r="C12" s="104" t="s">
        <v>26</v>
      </c>
      <c r="D12" s="104" t="s">
        <v>91</v>
      </c>
      <c r="E12" s="104" t="s">
        <v>92</v>
      </c>
      <c r="F12" s="104">
        <v>2023</v>
      </c>
      <c r="G12" s="78" t="s">
        <v>147</v>
      </c>
      <c r="H12" s="78" t="s">
        <v>146</v>
      </c>
      <c r="I12" s="78" t="s">
        <v>31</v>
      </c>
      <c r="J12" s="104" t="s">
        <v>32</v>
      </c>
      <c r="K12" s="78">
        <v>1</v>
      </c>
      <c r="L12" s="78">
        <v>6</v>
      </c>
      <c r="M12" s="78">
        <v>475</v>
      </c>
      <c r="N12" s="132">
        <v>2850</v>
      </c>
      <c r="O12" s="78" t="s">
        <v>31</v>
      </c>
      <c r="P12" s="23">
        <f t="shared" si="0"/>
        <v>2850</v>
      </c>
      <c r="Q12" s="214">
        <f t="shared" si="1"/>
        <v>1</v>
      </c>
      <c r="R12" s="126" t="e">
        <f>VLOOKUP(G12,#REF!,11,0)*Q12</f>
        <v>#REF!</v>
      </c>
      <c r="S12" s="104" t="s">
        <v>33</v>
      </c>
      <c r="T12" s="104">
        <v>1620.75</v>
      </c>
      <c r="U12" s="104">
        <v>2</v>
      </c>
      <c r="V12" s="78" t="s">
        <v>31</v>
      </c>
      <c r="W12" s="78" t="s">
        <v>31</v>
      </c>
      <c r="X12" s="104" t="s">
        <v>93</v>
      </c>
      <c r="Y12" s="104">
        <v>1.5</v>
      </c>
      <c r="Z12" s="104" t="s">
        <v>94</v>
      </c>
      <c r="AA12" s="104" t="s">
        <v>31</v>
      </c>
      <c r="AB12" s="104" t="s">
        <v>95</v>
      </c>
      <c r="AC12" s="185" t="s">
        <v>445</v>
      </c>
      <c r="AD12" s="185">
        <v>4</v>
      </c>
      <c r="AE12" s="185" t="s">
        <v>185</v>
      </c>
    </row>
    <row r="13" spans="1:31" hidden="1" x14ac:dyDescent="0.25">
      <c r="A13" s="158" t="s">
        <v>241</v>
      </c>
      <c r="B13" s="156" t="s">
        <v>242</v>
      </c>
      <c r="C13" s="156" t="s">
        <v>243</v>
      </c>
      <c r="D13" s="155" t="s">
        <v>352</v>
      </c>
      <c r="E13" s="156" t="s">
        <v>245</v>
      </c>
      <c r="F13" s="156">
        <v>2023</v>
      </c>
      <c r="G13" s="156" t="s">
        <v>251</v>
      </c>
      <c r="H13" s="156" t="s">
        <v>62</v>
      </c>
      <c r="I13" s="156" t="s">
        <v>31</v>
      </c>
      <c r="J13" s="156" t="s">
        <v>246</v>
      </c>
      <c r="K13" s="156">
        <v>0</v>
      </c>
      <c r="L13" s="156">
        <v>0</v>
      </c>
      <c r="M13" s="156">
        <v>400</v>
      </c>
      <c r="N13" s="159">
        <v>600</v>
      </c>
      <c r="O13" s="156" t="s">
        <v>31</v>
      </c>
      <c r="P13" s="156">
        <f t="shared" si="0"/>
        <v>8100</v>
      </c>
      <c r="Q13" s="215">
        <f t="shared" si="1"/>
        <v>7.407407407407407E-2</v>
      </c>
      <c r="R13" s="216" t="e">
        <f>VLOOKUP(G13,#REF!,11,0)*Q13</f>
        <v>#REF!</v>
      </c>
      <c r="S13" s="156" t="s">
        <v>247</v>
      </c>
      <c r="T13" s="156" t="s">
        <v>248</v>
      </c>
      <c r="U13" s="156" t="s">
        <v>31</v>
      </c>
      <c r="V13" s="156" t="s">
        <v>31</v>
      </c>
      <c r="W13" s="156" t="s">
        <v>31</v>
      </c>
      <c r="X13" s="156" t="s">
        <v>31</v>
      </c>
      <c r="Y13" s="156" t="s">
        <v>31</v>
      </c>
      <c r="Z13" s="156" t="s">
        <v>31</v>
      </c>
      <c r="AA13" s="156" t="s">
        <v>31</v>
      </c>
      <c r="AB13" s="156" t="s">
        <v>250</v>
      </c>
      <c r="AC13" s="186" t="s">
        <v>443</v>
      </c>
      <c r="AD13" s="186">
        <v>4</v>
      </c>
      <c r="AE13" s="186" t="s">
        <v>403</v>
      </c>
    </row>
    <row r="14" spans="1:31" hidden="1" x14ac:dyDescent="0.25">
      <c r="A14" s="108" t="s">
        <v>241</v>
      </c>
      <c r="B14" s="78" t="s">
        <v>242</v>
      </c>
      <c r="C14" s="78" t="s">
        <v>243</v>
      </c>
      <c r="D14" s="104" t="s">
        <v>352</v>
      </c>
      <c r="E14" s="78" t="s">
        <v>245</v>
      </c>
      <c r="F14" s="78">
        <v>2023</v>
      </c>
      <c r="G14" s="78" t="s">
        <v>265</v>
      </c>
      <c r="H14" s="78" t="s">
        <v>62</v>
      </c>
      <c r="I14" s="78" t="s">
        <v>31</v>
      </c>
      <c r="J14" s="78" t="s">
        <v>258</v>
      </c>
      <c r="K14" s="78">
        <v>1</v>
      </c>
      <c r="L14" s="78">
        <v>0</v>
      </c>
      <c r="M14" s="78">
        <v>400</v>
      </c>
      <c r="N14" s="130">
        <v>600</v>
      </c>
      <c r="O14" s="78" t="s">
        <v>31</v>
      </c>
      <c r="P14" s="23">
        <f t="shared" si="0"/>
        <v>2400</v>
      </c>
      <c r="Q14" s="214">
        <f t="shared" si="1"/>
        <v>0.25</v>
      </c>
      <c r="R14" s="126" t="e">
        <f>VLOOKUP(G14,#REF!,11,0)*Q14</f>
        <v>#REF!</v>
      </c>
      <c r="S14" s="78" t="s">
        <v>247</v>
      </c>
      <c r="T14" s="78" t="s">
        <v>259</v>
      </c>
      <c r="U14" s="78">
        <v>2</v>
      </c>
      <c r="V14" s="78" t="s">
        <v>31</v>
      </c>
      <c r="W14" s="78" t="s">
        <v>31</v>
      </c>
      <c r="X14" s="78" t="s">
        <v>31</v>
      </c>
      <c r="Y14" s="78" t="s">
        <v>31</v>
      </c>
      <c r="Z14" s="78" t="s">
        <v>31</v>
      </c>
      <c r="AA14" s="78" t="s">
        <v>31</v>
      </c>
      <c r="AB14" s="78" t="s">
        <v>260</v>
      </c>
      <c r="AC14" s="185" t="s">
        <v>440</v>
      </c>
      <c r="AD14" s="185"/>
      <c r="AE14" s="185" t="s">
        <v>403</v>
      </c>
    </row>
    <row r="15" spans="1:31" hidden="1" x14ac:dyDescent="0.25">
      <c r="A15" s="108" t="s">
        <v>241</v>
      </c>
      <c r="B15" s="78" t="s">
        <v>242</v>
      </c>
      <c r="C15" s="78" t="s">
        <v>243</v>
      </c>
      <c r="D15" s="104" t="s">
        <v>352</v>
      </c>
      <c r="E15" s="78" t="s">
        <v>245</v>
      </c>
      <c r="F15" s="78">
        <v>2023</v>
      </c>
      <c r="G15" s="78" t="s">
        <v>267</v>
      </c>
      <c r="H15" s="78" t="s">
        <v>57</v>
      </c>
      <c r="I15" s="78" t="s">
        <v>31</v>
      </c>
      <c r="J15" s="78" t="s">
        <v>258</v>
      </c>
      <c r="K15" s="78">
        <v>1</v>
      </c>
      <c r="L15" s="78">
        <v>0</v>
      </c>
      <c r="M15" s="78">
        <v>400</v>
      </c>
      <c r="N15" s="130">
        <v>600</v>
      </c>
      <c r="O15" s="78" t="s">
        <v>31</v>
      </c>
      <c r="P15" s="23">
        <f t="shared" si="0"/>
        <v>3600</v>
      </c>
      <c r="Q15" s="214">
        <f t="shared" si="1"/>
        <v>0.16666666666666666</v>
      </c>
      <c r="R15" s="126" t="e">
        <f>VLOOKUP(G15,#REF!,11,0)*Q15</f>
        <v>#REF!</v>
      </c>
      <c r="S15" s="78" t="s">
        <v>247</v>
      </c>
      <c r="T15" s="78" t="s">
        <v>259</v>
      </c>
      <c r="U15" s="78">
        <v>2</v>
      </c>
      <c r="V15" s="78" t="s">
        <v>31</v>
      </c>
      <c r="W15" s="78" t="s">
        <v>31</v>
      </c>
      <c r="X15" s="78" t="s">
        <v>31</v>
      </c>
      <c r="Y15" s="78" t="s">
        <v>31</v>
      </c>
      <c r="Z15" s="78" t="s">
        <v>31</v>
      </c>
      <c r="AA15" s="78" t="s">
        <v>31</v>
      </c>
      <c r="AB15" s="78" t="s">
        <v>260</v>
      </c>
      <c r="AC15" s="185" t="s">
        <v>441</v>
      </c>
      <c r="AD15" s="185"/>
      <c r="AE15" s="185" t="s">
        <v>403</v>
      </c>
    </row>
    <row r="16" spans="1:31" x14ac:dyDescent="0.25">
      <c r="A16" s="158" t="s">
        <v>241</v>
      </c>
      <c r="B16" s="156" t="s">
        <v>242</v>
      </c>
      <c r="C16" s="156" t="s">
        <v>243</v>
      </c>
      <c r="D16" s="155" t="s">
        <v>352</v>
      </c>
      <c r="E16" s="156" t="s">
        <v>245</v>
      </c>
      <c r="F16" s="156">
        <v>2023</v>
      </c>
      <c r="G16" s="156" t="s">
        <v>96</v>
      </c>
      <c r="H16" s="156" t="s">
        <v>64</v>
      </c>
      <c r="I16" s="156" t="s">
        <v>31</v>
      </c>
      <c r="J16" s="156" t="s">
        <v>258</v>
      </c>
      <c r="K16" s="156">
        <v>1</v>
      </c>
      <c r="L16" s="156">
        <v>0</v>
      </c>
      <c r="M16" s="156">
        <v>400</v>
      </c>
      <c r="N16" s="159">
        <v>600</v>
      </c>
      <c r="O16" s="156" t="s">
        <v>31</v>
      </c>
      <c r="P16" s="156">
        <f t="shared" si="0"/>
        <v>2400</v>
      </c>
      <c r="Q16" s="215">
        <f t="shared" si="1"/>
        <v>0.25</v>
      </c>
      <c r="R16" s="216" t="e">
        <f>VLOOKUP(G16,#REF!,11,0)*Q16</f>
        <v>#REF!</v>
      </c>
      <c r="S16" s="156" t="s">
        <v>247</v>
      </c>
      <c r="T16" s="156" t="s">
        <v>259</v>
      </c>
      <c r="U16" s="156">
        <v>2</v>
      </c>
      <c r="V16" s="156" t="s">
        <v>31</v>
      </c>
      <c r="W16" s="156" t="s">
        <v>31</v>
      </c>
      <c r="X16" s="156" t="s">
        <v>31</v>
      </c>
      <c r="Y16" s="156" t="s">
        <v>31</v>
      </c>
      <c r="Z16" s="156" t="s">
        <v>31</v>
      </c>
      <c r="AA16" s="156" t="s">
        <v>31</v>
      </c>
      <c r="AB16" s="156" t="s">
        <v>260</v>
      </c>
      <c r="AC16" s="186" t="s">
        <v>446</v>
      </c>
      <c r="AD16" s="186"/>
      <c r="AE16" s="186" t="s">
        <v>403</v>
      </c>
    </row>
    <row r="17" spans="1:56" hidden="1" x14ac:dyDescent="0.25">
      <c r="A17" s="158" t="s">
        <v>241</v>
      </c>
      <c r="B17" s="156" t="s">
        <v>242</v>
      </c>
      <c r="C17" s="156" t="s">
        <v>243</v>
      </c>
      <c r="D17" s="155" t="s">
        <v>352</v>
      </c>
      <c r="E17" s="156" t="s">
        <v>245</v>
      </c>
      <c r="F17" s="156">
        <v>2023</v>
      </c>
      <c r="G17" s="156" t="s">
        <v>251</v>
      </c>
      <c r="H17" s="156" t="s">
        <v>62</v>
      </c>
      <c r="I17" s="156" t="s">
        <v>31</v>
      </c>
      <c r="J17" s="156" t="s">
        <v>246</v>
      </c>
      <c r="K17" s="156">
        <v>0</v>
      </c>
      <c r="L17" s="156">
        <v>0</v>
      </c>
      <c r="M17" s="156">
        <v>400</v>
      </c>
      <c r="N17" s="159">
        <v>600</v>
      </c>
      <c r="O17" s="156" t="s">
        <v>31</v>
      </c>
      <c r="P17" s="156">
        <f t="shared" si="0"/>
        <v>8100</v>
      </c>
      <c r="Q17" s="215">
        <f t="shared" si="1"/>
        <v>7.407407407407407E-2</v>
      </c>
      <c r="R17" s="216" t="e">
        <f>VLOOKUP(G17,#REF!,11,0)*Q17</f>
        <v>#REF!</v>
      </c>
      <c r="S17" s="156" t="s">
        <v>247</v>
      </c>
      <c r="T17" s="156" t="s">
        <v>248</v>
      </c>
      <c r="U17" s="156" t="s">
        <v>31</v>
      </c>
      <c r="V17" s="156" t="s">
        <v>31</v>
      </c>
      <c r="W17" s="156" t="s">
        <v>31</v>
      </c>
      <c r="X17" s="156" t="s">
        <v>31</v>
      </c>
      <c r="Y17" s="156" t="s">
        <v>31</v>
      </c>
      <c r="Z17" s="156" t="s">
        <v>31</v>
      </c>
      <c r="AA17" s="156" t="s">
        <v>31</v>
      </c>
      <c r="AB17" s="156" t="s">
        <v>269</v>
      </c>
      <c r="AC17" s="186" t="s">
        <v>443</v>
      </c>
      <c r="AD17" s="186">
        <v>4</v>
      </c>
      <c r="AE17" s="186" t="s">
        <v>403</v>
      </c>
    </row>
    <row r="18" spans="1:56" hidden="1" x14ac:dyDescent="0.25">
      <c r="A18" s="108" t="s">
        <v>241</v>
      </c>
      <c r="B18" s="78" t="s">
        <v>242</v>
      </c>
      <c r="C18" s="78" t="s">
        <v>243</v>
      </c>
      <c r="D18" s="104" t="s">
        <v>352</v>
      </c>
      <c r="E18" s="78" t="s">
        <v>245</v>
      </c>
      <c r="F18" s="78">
        <v>2023</v>
      </c>
      <c r="G18" s="78" t="s">
        <v>265</v>
      </c>
      <c r="H18" s="78" t="s">
        <v>62</v>
      </c>
      <c r="I18" s="78" t="s">
        <v>31</v>
      </c>
      <c r="J18" s="78" t="s">
        <v>246</v>
      </c>
      <c r="K18" s="78">
        <v>0</v>
      </c>
      <c r="L18" s="78">
        <v>0</v>
      </c>
      <c r="M18" s="78">
        <v>400</v>
      </c>
      <c r="N18" s="130">
        <v>600</v>
      </c>
      <c r="O18" s="78" t="s">
        <v>31</v>
      </c>
      <c r="P18" s="23">
        <f t="shared" si="0"/>
        <v>2400</v>
      </c>
      <c r="Q18" s="214">
        <f t="shared" si="1"/>
        <v>0.25</v>
      </c>
      <c r="R18" s="126" t="e">
        <f>VLOOKUP(G18,#REF!,11,0)*Q18</f>
        <v>#REF!</v>
      </c>
      <c r="S18" s="78" t="s">
        <v>247</v>
      </c>
      <c r="T18" s="78" t="s">
        <v>248</v>
      </c>
      <c r="U18" s="78" t="s">
        <v>31</v>
      </c>
      <c r="V18" s="78" t="s">
        <v>31</v>
      </c>
      <c r="W18" s="78" t="s">
        <v>31</v>
      </c>
      <c r="X18" s="78" t="s">
        <v>31</v>
      </c>
      <c r="Y18" s="78" t="s">
        <v>31</v>
      </c>
      <c r="Z18" s="78" t="s">
        <v>31</v>
      </c>
      <c r="AA18" s="78" t="s">
        <v>31</v>
      </c>
      <c r="AB18" s="78" t="s">
        <v>269</v>
      </c>
      <c r="AC18" s="185" t="s">
        <v>435</v>
      </c>
      <c r="AD18" s="185"/>
      <c r="AE18" s="185" t="s">
        <v>403</v>
      </c>
    </row>
    <row r="19" spans="1:56" hidden="1" x14ac:dyDescent="0.25">
      <c r="A19" s="108" t="s">
        <v>241</v>
      </c>
      <c r="B19" s="78" t="s">
        <v>242</v>
      </c>
      <c r="C19" s="78" t="s">
        <v>243</v>
      </c>
      <c r="D19" s="104" t="s">
        <v>352</v>
      </c>
      <c r="E19" s="78" t="s">
        <v>245</v>
      </c>
      <c r="F19" s="78">
        <v>2023</v>
      </c>
      <c r="G19" s="78" t="s">
        <v>267</v>
      </c>
      <c r="H19" s="78" t="s">
        <v>57</v>
      </c>
      <c r="I19" s="78" t="s">
        <v>31</v>
      </c>
      <c r="J19" s="78" t="s">
        <v>246</v>
      </c>
      <c r="K19" s="78">
        <v>0</v>
      </c>
      <c r="L19" s="78">
        <v>0</v>
      </c>
      <c r="M19" s="78">
        <v>400</v>
      </c>
      <c r="N19" s="130">
        <v>600</v>
      </c>
      <c r="O19" s="78" t="s">
        <v>31</v>
      </c>
      <c r="P19" s="23">
        <f t="shared" si="0"/>
        <v>3600</v>
      </c>
      <c r="Q19" s="214">
        <f t="shared" si="1"/>
        <v>0.16666666666666666</v>
      </c>
      <c r="R19" s="126" t="e">
        <f>VLOOKUP(G19,#REF!,11,0)*Q19</f>
        <v>#REF!</v>
      </c>
      <c r="S19" s="78" t="s">
        <v>247</v>
      </c>
      <c r="T19" s="78" t="s">
        <v>248</v>
      </c>
      <c r="U19" s="78" t="s">
        <v>31</v>
      </c>
      <c r="V19" s="78" t="s">
        <v>31</v>
      </c>
      <c r="W19" s="78" t="s">
        <v>31</v>
      </c>
      <c r="X19" s="78" t="s">
        <v>31</v>
      </c>
      <c r="Y19" s="78" t="s">
        <v>31</v>
      </c>
      <c r="Z19" s="78" t="s">
        <v>31</v>
      </c>
      <c r="AA19" s="78" t="s">
        <v>31</v>
      </c>
      <c r="AB19" s="78" t="s">
        <v>269</v>
      </c>
      <c r="AC19" s="185" t="s">
        <v>441</v>
      </c>
      <c r="AD19" s="185"/>
      <c r="AE19" s="185" t="s">
        <v>403</v>
      </c>
    </row>
    <row r="20" spans="1:56" x14ac:dyDescent="0.25">
      <c r="A20" s="158" t="s">
        <v>241</v>
      </c>
      <c r="B20" s="156" t="s">
        <v>242</v>
      </c>
      <c r="C20" s="156" t="s">
        <v>243</v>
      </c>
      <c r="D20" s="155" t="s">
        <v>352</v>
      </c>
      <c r="E20" s="156" t="s">
        <v>245</v>
      </c>
      <c r="F20" s="156">
        <v>2023</v>
      </c>
      <c r="G20" s="156" t="s">
        <v>96</v>
      </c>
      <c r="H20" s="156" t="s">
        <v>64</v>
      </c>
      <c r="I20" s="156" t="s">
        <v>31</v>
      </c>
      <c r="J20" s="156" t="s">
        <v>246</v>
      </c>
      <c r="K20" s="156">
        <v>0</v>
      </c>
      <c r="L20" s="156">
        <v>0</v>
      </c>
      <c r="M20" s="156">
        <v>400</v>
      </c>
      <c r="N20" s="159">
        <v>600</v>
      </c>
      <c r="O20" s="156" t="s">
        <v>31</v>
      </c>
      <c r="P20" s="156">
        <f t="shared" si="0"/>
        <v>2400</v>
      </c>
      <c r="Q20" s="215">
        <f t="shared" si="1"/>
        <v>0.25</v>
      </c>
      <c r="R20" s="216" t="e">
        <f>VLOOKUP(G20,#REF!,11,0)*Q20</f>
        <v>#REF!</v>
      </c>
      <c r="S20" s="156" t="s">
        <v>247</v>
      </c>
      <c r="T20" s="156" t="s">
        <v>248</v>
      </c>
      <c r="U20" s="156" t="s">
        <v>31</v>
      </c>
      <c r="V20" s="156" t="s">
        <v>31</v>
      </c>
      <c r="W20" s="156" t="s">
        <v>31</v>
      </c>
      <c r="X20" s="156" t="s">
        <v>31</v>
      </c>
      <c r="Y20" s="156" t="s">
        <v>31</v>
      </c>
      <c r="Z20" s="156" t="s">
        <v>31</v>
      </c>
      <c r="AA20" s="156" t="s">
        <v>31</v>
      </c>
      <c r="AB20" s="156" t="s">
        <v>269</v>
      </c>
      <c r="AC20" s="186" t="s">
        <v>446</v>
      </c>
      <c r="AD20" s="186"/>
      <c r="AE20" s="186" t="s">
        <v>403</v>
      </c>
    </row>
    <row r="21" spans="1:56" hidden="1" x14ac:dyDescent="0.25">
      <c r="A21" s="24" t="s">
        <v>241</v>
      </c>
      <c r="B21" s="23" t="s">
        <v>242</v>
      </c>
      <c r="C21" s="23" t="s">
        <v>243</v>
      </c>
      <c r="D21" s="38" t="s">
        <v>352</v>
      </c>
      <c r="E21" s="23" t="s">
        <v>245</v>
      </c>
      <c r="F21" s="23">
        <v>2023</v>
      </c>
      <c r="G21" s="23" t="s">
        <v>274</v>
      </c>
      <c r="H21" s="23" t="s">
        <v>57</v>
      </c>
      <c r="I21" s="23" t="s">
        <v>31</v>
      </c>
      <c r="J21" s="23" t="s">
        <v>275</v>
      </c>
      <c r="K21" s="23">
        <v>2</v>
      </c>
      <c r="L21" s="23">
        <v>2</v>
      </c>
      <c r="M21" s="29">
        <v>3800</v>
      </c>
      <c r="N21" s="129">
        <v>4100</v>
      </c>
      <c r="O21" s="23" t="s">
        <v>31</v>
      </c>
      <c r="P21" s="23">
        <f t="shared" si="0"/>
        <v>12200</v>
      </c>
      <c r="Q21" s="214">
        <f t="shared" si="1"/>
        <v>0.33606557377049179</v>
      </c>
      <c r="R21" s="126" t="e">
        <f>VLOOKUP(G21,#REF!,11,0)*Q21</f>
        <v>#REF!</v>
      </c>
      <c r="S21" s="23" t="s">
        <v>247</v>
      </c>
      <c r="T21" s="23" t="s">
        <v>276</v>
      </c>
      <c r="U21" s="23" t="s">
        <v>31</v>
      </c>
      <c r="V21" s="23" t="s">
        <v>31</v>
      </c>
      <c r="W21" s="23" t="s">
        <v>31</v>
      </c>
      <c r="X21" s="23" t="s">
        <v>31</v>
      </c>
      <c r="Y21" s="23" t="s">
        <v>31</v>
      </c>
      <c r="Z21" s="23" t="s">
        <v>31</v>
      </c>
      <c r="AA21" s="23" t="s">
        <v>31</v>
      </c>
      <c r="AB21" s="23" t="s">
        <v>277</v>
      </c>
      <c r="AC21" s="187" t="s">
        <v>447</v>
      </c>
      <c r="AD21" s="187" t="s">
        <v>448</v>
      </c>
      <c r="AE21" s="187" t="s">
        <v>403</v>
      </c>
    </row>
    <row r="22" spans="1:56" hidden="1" x14ac:dyDescent="0.25">
      <c r="A22" s="24" t="s">
        <v>241</v>
      </c>
      <c r="B22" s="23" t="s">
        <v>242</v>
      </c>
      <c r="C22" s="23" t="s">
        <v>278</v>
      </c>
      <c r="D22" s="38" t="s">
        <v>352</v>
      </c>
      <c r="E22" s="23" t="s">
        <v>245</v>
      </c>
      <c r="F22" s="23">
        <v>2023</v>
      </c>
      <c r="G22" s="23" t="s">
        <v>274</v>
      </c>
      <c r="H22" s="23" t="s">
        <v>57</v>
      </c>
      <c r="I22" s="23" t="s">
        <v>31</v>
      </c>
      <c r="J22" s="23" t="s">
        <v>246</v>
      </c>
      <c r="K22" s="23" t="s">
        <v>31</v>
      </c>
      <c r="L22" s="23">
        <v>2</v>
      </c>
      <c r="M22" s="29">
        <v>1500</v>
      </c>
      <c r="N22" s="129">
        <v>2000</v>
      </c>
      <c r="O22" s="23" t="s">
        <v>31</v>
      </c>
      <c r="P22" s="23">
        <f t="shared" si="0"/>
        <v>12200</v>
      </c>
      <c r="Q22" s="214">
        <f t="shared" si="1"/>
        <v>0.16393442622950818</v>
      </c>
      <c r="R22" s="126" t="e">
        <f>VLOOKUP(G22,#REF!,11,0)*Q22</f>
        <v>#REF!</v>
      </c>
      <c r="S22" s="23" t="s">
        <v>247</v>
      </c>
      <c r="T22" s="23" t="s">
        <v>279</v>
      </c>
      <c r="U22" s="23" t="s">
        <v>31</v>
      </c>
      <c r="V22" s="23" t="s">
        <v>31</v>
      </c>
      <c r="W22" s="23" t="s">
        <v>31</v>
      </c>
      <c r="X22" s="23" t="s">
        <v>31</v>
      </c>
      <c r="Y22" s="23" t="s">
        <v>31</v>
      </c>
      <c r="Z22" s="23" t="s">
        <v>31</v>
      </c>
      <c r="AA22" s="23" t="s">
        <v>31</v>
      </c>
      <c r="AB22" s="23" t="s">
        <v>280</v>
      </c>
      <c r="AC22" s="187" t="s">
        <v>447</v>
      </c>
      <c r="AD22" s="187" t="s">
        <v>448</v>
      </c>
      <c r="AE22" s="187" t="s">
        <v>403</v>
      </c>
    </row>
    <row r="23" spans="1:56" hidden="1" x14ac:dyDescent="0.25">
      <c r="A23" s="24" t="s">
        <v>241</v>
      </c>
      <c r="B23" s="23" t="s">
        <v>242</v>
      </c>
      <c r="C23" s="23" t="s">
        <v>243</v>
      </c>
      <c r="D23" s="38" t="s">
        <v>352</v>
      </c>
      <c r="E23" s="23" t="s">
        <v>245</v>
      </c>
      <c r="F23" s="23">
        <v>2023</v>
      </c>
      <c r="G23" s="23" t="s">
        <v>281</v>
      </c>
      <c r="H23" s="23" t="s">
        <v>57</v>
      </c>
      <c r="I23" s="23" t="s">
        <v>31</v>
      </c>
      <c r="J23" s="23" t="s">
        <v>275</v>
      </c>
      <c r="K23" s="23">
        <v>2</v>
      </c>
      <c r="L23" s="23">
        <v>2</v>
      </c>
      <c r="M23" s="29">
        <v>3800</v>
      </c>
      <c r="N23" s="129">
        <v>4100</v>
      </c>
      <c r="O23" s="23" t="s">
        <v>31</v>
      </c>
      <c r="P23" s="23">
        <f t="shared" si="0"/>
        <v>4100</v>
      </c>
      <c r="Q23" s="214">
        <f t="shared" si="1"/>
        <v>1</v>
      </c>
      <c r="R23" s="126" t="e">
        <f>VLOOKUP(G23,#REF!,11,0)*Q23</f>
        <v>#REF!</v>
      </c>
      <c r="S23" s="23" t="s">
        <v>247</v>
      </c>
      <c r="T23" s="23" t="s">
        <v>276</v>
      </c>
      <c r="U23" s="23" t="s">
        <v>31</v>
      </c>
      <c r="V23" s="23" t="s">
        <v>31</v>
      </c>
      <c r="W23" s="23" t="s">
        <v>31</v>
      </c>
      <c r="X23" s="23" t="s">
        <v>31</v>
      </c>
      <c r="Y23" s="23" t="s">
        <v>31</v>
      </c>
      <c r="Z23" s="23" t="s">
        <v>31</v>
      </c>
      <c r="AA23" s="23" t="s">
        <v>31</v>
      </c>
      <c r="AB23" s="23" t="s">
        <v>277</v>
      </c>
      <c r="AC23" s="187" t="s">
        <v>449</v>
      </c>
      <c r="AD23" s="187" t="s">
        <v>448</v>
      </c>
      <c r="AE23" s="187" t="s">
        <v>403</v>
      </c>
    </row>
    <row r="24" spans="1:56" hidden="1" x14ac:dyDescent="0.25">
      <c r="A24" s="24" t="s">
        <v>241</v>
      </c>
      <c r="B24" s="23" t="s">
        <v>242</v>
      </c>
      <c r="C24" s="23" t="s">
        <v>243</v>
      </c>
      <c r="D24" s="38" t="s">
        <v>352</v>
      </c>
      <c r="E24" s="23" t="s">
        <v>245</v>
      </c>
      <c r="F24" s="23">
        <v>2023</v>
      </c>
      <c r="G24" s="23" t="s">
        <v>290</v>
      </c>
      <c r="H24" s="23" t="s">
        <v>57</v>
      </c>
      <c r="I24" s="23" t="s">
        <v>31</v>
      </c>
      <c r="J24" s="23" t="s">
        <v>275</v>
      </c>
      <c r="K24" s="23">
        <v>2</v>
      </c>
      <c r="L24" s="23">
        <v>2</v>
      </c>
      <c r="M24" s="29">
        <v>3800</v>
      </c>
      <c r="N24" s="129">
        <v>4100</v>
      </c>
      <c r="O24" s="23" t="s">
        <v>31</v>
      </c>
      <c r="P24" s="23">
        <f t="shared" si="0"/>
        <v>4100</v>
      </c>
      <c r="Q24" s="214">
        <f t="shared" si="1"/>
        <v>1</v>
      </c>
      <c r="R24" s="126" t="e">
        <f>VLOOKUP(G24,#REF!,11,0)*Q24</f>
        <v>#REF!</v>
      </c>
      <c r="S24" s="23" t="s">
        <v>247</v>
      </c>
      <c r="T24" s="23" t="s">
        <v>276</v>
      </c>
      <c r="U24" s="23" t="s">
        <v>31</v>
      </c>
      <c r="V24" s="23" t="s">
        <v>31</v>
      </c>
      <c r="W24" s="23" t="s">
        <v>31</v>
      </c>
      <c r="X24" s="23" t="s">
        <v>31</v>
      </c>
      <c r="Y24" s="23" t="s">
        <v>31</v>
      </c>
      <c r="Z24" s="23" t="s">
        <v>31</v>
      </c>
      <c r="AA24" s="23" t="s">
        <v>31</v>
      </c>
      <c r="AB24" s="23" t="s">
        <v>277</v>
      </c>
      <c r="AC24" s="187" t="s">
        <v>449</v>
      </c>
      <c r="AD24" s="187" t="s">
        <v>448</v>
      </c>
      <c r="AE24" s="187" t="s">
        <v>403</v>
      </c>
    </row>
    <row r="25" spans="1:56" hidden="1" x14ac:dyDescent="0.25">
      <c r="A25" s="108" t="s">
        <v>241</v>
      </c>
      <c r="B25" s="78" t="s">
        <v>242</v>
      </c>
      <c r="C25" s="78" t="s">
        <v>243</v>
      </c>
      <c r="D25" s="104" t="s">
        <v>352</v>
      </c>
      <c r="E25" s="78" t="s">
        <v>245</v>
      </c>
      <c r="F25" s="78">
        <v>2023</v>
      </c>
      <c r="G25" s="78" t="s">
        <v>267</v>
      </c>
      <c r="H25" s="78" t="s">
        <v>57</v>
      </c>
      <c r="I25" s="78" t="s">
        <v>31</v>
      </c>
      <c r="J25" s="78" t="s">
        <v>246</v>
      </c>
      <c r="K25" s="78">
        <v>0</v>
      </c>
      <c r="L25" s="78">
        <v>0</v>
      </c>
      <c r="M25" s="78">
        <v>400</v>
      </c>
      <c r="N25" s="130">
        <v>600</v>
      </c>
      <c r="O25" s="78" t="s">
        <v>31</v>
      </c>
      <c r="P25" s="23">
        <f t="shared" si="0"/>
        <v>3600</v>
      </c>
      <c r="Q25" s="214">
        <f t="shared" si="1"/>
        <v>0.16666666666666666</v>
      </c>
      <c r="R25" s="126" t="e">
        <f>VLOOKUP(G25,#REF!,11,0)*Q25</f>
        <v>#REF!</v>
      </c>
      <c r="S25" s="78" t="s">
        <v>247</v>
      </c>
      <c r="T25" s="78" t="s">
        <v>248</v>
      </c>
      <c r="U25" s="78" t="s">
        <v>31</v>
      </c>
      <c r="V25" s="78" t="s">
        <v>31</v>
      </c>
      <c r="W25" s="78" t="s">
        <v>31</v>
      </c>
      <c r="X25" s="78" t="s">
        <v>31</v>
      </c>
      <c r="Y25" s="78" t="s">
        <v>31</v>
      </c>
      <c r="Z25" s="78" t="s">
        <v>31</v>
      </c>
      <c r="AA25" s="78" t="s">
        <v>31</v>
      </c>
      <c r="AB25" s="78" t="s">
        <v>269</v>
      </c>
      <c r="AC25" s="185" t="s">
        <v>441</v>
      </c>
      <c r="AD25" s="185"/>
      <c r="AE25" s="185" t="s">
        <v>403</v>
      </c>
    </row>
    <row r="26" spans="1:56" hidden="1" x14ac:dyDescent="0.25">
      <c r="A26" s="103" t="s">
        <v>90</v>
      </c>
      <c r="B26" s="78" t="s">
        <v>25</v>
      </c>
      <c r="C26" s="78" t="s">
        <v>26</v>
      </c>
      <c r="D26" s="104" t="s">
        <v>91</v>
      </c>
      <c r="E26" s="104" t="s">
        <v>92</v>
      </c>
      <c r="F26" s="104">
        <v>2023</v>
      </c>
      <c r="G26" s="109" t="s">
        <v>166</v>
      </c>
      <c r="H26" s="110" t="s">
        <v>167</v>
      </c>
      <c r="I26" s="111" t="s">
        <v>31</v>
      </c>
      <c r="J26" s="108" t="s">
        <v>32</v>
      </c>
      <c r="K26" s="78">
        <v>2</v>
      </c>
      <c r="L26" s="78">
        <v>4</v>
      </c>
      <c r="M26" s="78">
        <v>475</v>
      </c>
      <c r="N26" s="132">
        <v>1403</v>
      </c>
      <c r="O26" s="78" t="s">
        <v>31</v>
      </c>
      <c r="P26" s="23">
        <f t="shared" si="0"/>
        <v>2806</v>
      </c>
      <c r="Q26" s="214">
        <f t="shared" si="1"/>
        <v>0.5</v>
      </c>
      <c r="R26" s="126" t="e">
        <f>VLOOKUP(G26,#REF!,11,0)*Q26</f>
        <v>#REF!</v>
      </c>
      <c r="S26" s="78" t="s">
        <v>33</v>
      </c>
      <c r="T26" s="104">
        <v>1620.75</v>
      </c>
      <c r="U26" s="104">
        <v>4</v>
      </c>
      <c r="V26" s="78" t="s">
        <v>31</v>
      </c>
      <c r="W26" s="78" t="s">
        <v>31</v>
      </c>
      <c r="X26" s="104" t="s">
        <v>93</v>
      </c>
      <c r="Y26" s="104">
        <v>3</v>
      </c>
      <c r="Z26" s="104" t="s">
        <v>94</v>
      </c>
      <c r="AA26" s="112" t="s">
        <v>31</v>
      </c>
      <c r="AB26" s="113" t="s">
        <v>95</v>
      </c>
      <c r="AC26" s="185" t="s">
        <v>450</v>
      </c>
      <c r="AD26" s="185" t="s">
        <v>448</v>
      </c>
      <c r="AE26" s="185" t="s">
        <v>403</v>
      </c>
    </row>
    <row r="27" spans="1:56" hidden="1" x14ac:dyDescent="0.25">
      <c r="A27" s="99" t="s">
        <v>241</v>
      </c>
      <c r="B27" s="114" t="s">
        <v>242</v>
      </c>
      <c r="C27" s="114" t="s">
        <v>243</v>
      </c>
      <c r="D27" s="104" t="s">
        <v>352</v>
      </c>
      <c r="E27" s="114" t="s">
        <v>245</v>
      </c>
      <c r="F27" s="114">
        <v>2023</v>
      </c>
      <c r="G27" s="115" t="s">
        <v>339</v>
      </c>
      <c r="H27" s="116" t="s">
        <v>340</v>
      </c>
      <c r="I27" s="116" t="s">
        <v>31</v>
      </c>
      <c r="J27" s="117" t="s">
        <v>246</v>
      </c>
      <c r="K27" s="117">
        <v>0</v>
      </c>
      <c r="L27" s="117">
        <v>0</v>
      </c>
      <c r="M27" s="117">
        <v>400</v>
      </c>
      <c r="N27" s="133">
        <v>600</v>
      </c>
      <c r="O27" s="117" t="s">
        <v>31</v>
      </c>
      <c r="P27" s="23">
        <f t="shared" si="0"/>
        <v>1200</v>
      </c>
      <c r="Q27" s="214">
        <f t="shared" si="1"/>
        <v>0.5</v>
      </c>
      <c r="R27" s="126" t="e">
        <f>VLOOKUP(G27,#REF!,11,0)*Q27</f>
        <v>#REF!</v>
      </c>
      <c r="S27" s="117" t="s">
        <v>247</v>
      </c>
      <c r="T27" s="99" t="s">
        <v>248</v>
      </c>
      <c r="U27" s="100" t="s">
        <v>31</v>
      </c>
      <c r="V27" s="118" t="s">
        <v>31</v>
      </c>
      <c r="W27" s="99" t="s">
        <v>31</v>
      </c>
      <c r="X27" s="114" t="s">
        <v>31</v>
      </c>
      <c r="Y27" s="118" t="s">
        <v>31</v>
      </c>
      <c r="Z27" s="99" t="s">
        <v>31</v>
      </c>
      <c r="AA27" s="100" t="s">
        <v>31</v>
      </c>
      <c r="AB27" s="119" t="s">
        <v>320</v>
      </c>
      <c r="AC27" s="185" t="s">
        <v>451</v>
      </c>
      <c r="AD27" s="185"/>
      <c r="AE27" s="185" t="s">
        <v>403</v>
      </c>
    </row>
    <row r="29" spans="1:56" x14ac:dyDescent="0.25">
      <c r="A29" s="98" t="s">
        <v>24</v>
      </c>
      <c r="B29" s="98" t="s">
        <v>25</v>
      </c>
      <c r="C29" s="98" t="s">
        <v>26</v>
      </c>
      <c r="D29" s="98" t="s">
        <v>91</v>
      </c>
      <c r="E29" s="98" t="s">
        <v>28</v>
      </c>
      <c r="F29" s="98">
        <v>2023</v>
      </c>
      <c r="G29" s="99" t="s">
        <v>404</v>
      </c>
      <c r="H29" s="99" t="s">
        <v>52</v>
      </c>
      <c r="I29" s="99" t="s">
        <v>31</v>
      </c>
      <c r="J29" s="98" t="s">
        <v>32</v>
      </c>
      <c r="K29" s="99">
        <v>2</v>
      </c>
      <c r="L29" s="99">
        <v>1</v>
      </c>
      <c r="M29" s="99">
        <v>842</v>
      </c>
      <c r="N29" s="127">
        <v>1403</v>
      </c>
      <c r="O29" s="99" t="s">
        <v>31</v>
      </c>
      <c r="P29" s="23">
        <f t="shared" ref="P29:P52" si="2">SUMIF($G$3:$G$316,G29,$N$3:$N$316)</f>
        <v>4209</v>
      </c>
      <c r="Q29" s="217">
        <f t="shared" ref="Q29:Q52" si="3">IF(N29&lt;&gt;0,N29/P29,"0")</f>
        <v>0.33333333333333331</v>
      </c>
      <c r="R29" s="126" t="e">
        <f>VLOOKUP(G29,#REF!,11,0)*Q29</f>
        <v>#REF!</v>
      </c>
      <c r="S29" s="98" t="s">
        <v>33</v>
      </c>
      <c r="T29" s="98" t="s">
        <v>31</v>
      </c>
      <c r="U29" s="98">
        <v>2</v>
      </c>
      <c r="V29" s="99">
        <v>0</v>
      </c>
      <c r="W29" s="99">
        <v>0</v>
      </c>
      <c r="X29" s="98" t="s">
        <v>33</v>
      </c>
      <c r="Y29" s="99">
        <v>3</v>
      </c>
      <c r="Z29" s="99" t="s">
        <v>34</v>
      </c>
      <c r="AA29" s="99" t="s">
        <v>31</v>
      </c>
      <c r="AB29" s="98" t="s">
        <v>31</v>
      </c>
      <c r="AC29" s="185" t="s">
        <v>433</v>
      </c>
      <c r="AD29" s="185">
        <v>5</v>
      </c>
      <c r="AE29" s="185" t="s">
        <v>403</v>
      </c>
      <c r="AF29" s="185" t="s">
        <v>452</v>
      </c>
      <c r="AG29" s="185"/>
      <c r="AH29" s="185"/>
      <c r="AI29" s="185" t="s">
        <v>452</v>
      </c>
      <c r="AJ29" s="185"/>
      <c r="AK29" s="120">
        <f>AJ29*'BU FACILITIES'!$G$21</f>
        <v>0</v>
      </c>
      <c r="AL29" s="188">
        <v>0</v>
      </c>
      <c r="AM29" s="121">
        <f>PRODUCT( AL29,'BU FACILITIES'!$G$22)</f>
        <v>0</v>
      </c>
      <c r="AN29" s="185" t="s">
        <v>453</v>
      </c>
      <c r="AO29" s="185"/>
      <c r="AP29" s="125" t="str">
        <f>IF(AO29=1,'BU FACILITIES'!$G$23,"")</f>
        <v/>
      </c>
      <c r="AQ29" s="185">
        <v>0</v>
      </c>
      <c r="AR29" s="185">
        <v>1200</v>
      </c>
      <c r="AS29" s="185"/>
      <c r="AT29" s="185">
        <v>0</v>
      </c>
      <c r="AU29" s="185">
        <v>800</v>
      </c>
      <c r="AV29" s="185"/>
      <c r="AW29" s="185">
        <v>0</v>
      </c>
      <c r="AX29" s="185">
        <v>45</v>
      </c>
      <c r="AY29" s="185"/>
      <c r="AZ29" s="185">
        <v>0</v>
      </c>
      <c r="BA29" s="185">
        <v>5</v>
      </c>
      <c r="BB29" s="185"/>
      <c r="BC29" s="185"/>
      <c r="BD29" s="185"/>
    </row>
    <row r="30" spans="1:56" x14ac:dyDescent="0.25">
      <c r="A30" s="98" t="s">
        <v>24</v>
      </c>
      <c r="B30" s="98" t="s">
        <v>25</v>
      </c>
      <c r="C30" s="98" t="s">
        <v>26</v>
      </c>
      <c r="D30" s="98" t="s">
        <v>91</v>
      </c>
      <c r="E30" s="98" t="s">
        <v>28</v>
      </c>
      <c r="F30" s="98">
        <v>2023</v>
      </c>
      <c r="G30" s="99" t="s">
        <v>61</v>
      </c>
      <c r="H30" s="99" t="s">
        <v>62</v>
      </c>
      <c r="I30" s="99" t="s">
        <v>31</v>
      </c>
      <c r="J30" s="98" t="s">
        <v>32</v>
      </c>
      <c r="K30" s="99">
        <v>2</v>
      </c>
      <c r="L30" s="99">
        <v>1</v>
      </c>
      <c r="M30" s="99">
        <v>842</v>
      </c>
      <c r="N30" s="127">
        <v>1403</v>
      </c>
      <c r="O30" s="99" t="s">
        <v>31</v>
      </c>
      <c r="P30" s="23">
        <f t="shared" si="2"/>
        <v>7340</v>
      </c>
      <c r="Q30" s="217">
        <f t="shared" si="3"/>
        <v>0.19114441416893732</v>
      </c>
      <c r="R30" s="126" t="e">
        <f>VLOOKUP(G30,#REF!,11,0)*Q30</f>
        <v>#REF!</v>
      </c>
      <c r="S30" s="98" t="s">
        <v>33</v>
      </c>
      <c r="T30" s="98" t="s">
        <v>31</v>
      </c>
      <c r="U30" s="98">
        <v>2</v>
      </c>
      <c r="V30" s="99">
        <v>0</v>
      </c>
      <c r="W30" s="99">
        <v>0</v>
      </c>
      <c r="X30" s="98" t="s">
        <v>33</v>
      </c>
      <c r="Y30" s="99">
        <v>3</v>
      </c>
      <c r="Z30" s="99" t="s">
        <v>34</v>
      </c>
      <c r="AA30" s="99" t="s">
        <v>31</v>
      </c>
      <c r="AB30" s="98" t="s">
        <v>434</v>
      </c>
      <c r="AC30" s="185" t="s">
        <v>435</v>
      </c>
      <c r="AD30" s="185"/>
      <c r="AE30" s="185" t="s">
        <v>403</v>
      </c>
      <c r="AF30" s="189" t="s">
        <v>185</v>
      </c>
      <c r="AG30" s="189"/>
      <c r="AH30" s="189"/>
      <c r="AI30" s="189" t="s">
        <v>185</v>
      </c>
      <c r="AJ30" s="189"/>
      <c r="AK30" s="120">
        <f>AJ30*'BU FACILITIES'!$G$21</f>
        <v>0</v>
      </c>
      <c r="AL30" s="188">
        <v>0</v>
      </c>
      <c r="AM30" s="121">
        <f>PRODUCT( AL30,'BU FACILITIES'!$G$22)</f>
        <v>0</v>
      </c>
      <c r="AN30" s="189" t="s">
        <v>185</v>
      </c>
      <c r="AO30" s="189"/>
      <c r="AP30" s="125" t="str">
        <f>IF(AO30=1,'BU FACILITIES'!$G$23,"")</f>
        <v/>
      </c>
      <c r="AQ30" s="189">
        <f>2*0</f>
        <v>0</v>
      </c>
      <c r="AR30" s="189">
        <f>300*0</f>
        <v>0</v>
      </c>
      <c r="AS30" s="189"/>
      <c r="AT30" s="189">
        <f>8*0</f>
        <v>0</v>
      </c>
      <c r="AU30" s="189">
        <f>100*0</f>
        <v>0</v>
      </c>
      <c r="AV30" s="189"/>
      <c r="AW30" s="189">
        <f>1*0</f>
        <v>0</v>
      </c>
      <c r="AX30" s="189">
        <f>30*0</f>
        <v>0</v>
      </c>
      <c r="AY30" s="189"/>
      <c r="AZ30" s="189">
        <f>2*0</f>
        <v>0</v>
      </c>
      <c r="BA30" s="189">
        <f>3*0</f>
        <v>0</v>
      </c>
      <c r="BB30" s="189"/>
      <c r="BC30" s="189"/>
      <c r="BD30" s="189"/>
    </row>
    <row r="31" spans="1:56" x14ac:dyDescent="0.25">
      <c r="A31" s="98" t="s">
        <v>24</v>
      </c>
      <c r="B31" s="98" t="s">
        <v>25</v>
      </c>
      <c r="C31" s="98" t="s">
        <v>26</v>
      </c>
      <c r="D31" s="98" t="s">
        <v>91</v>
      </c>
      <c r="E31" s="98" t="s">
        <v>28</v>
      </c>
      <c r="F31" s="98">
        <v>2023</v>
      </c>
      <c r="G31" s="99" t="s">
        <v>73</v>
      </c>
      <c r="H31" s="100" t="s">
        <v>73</v>
      </c>
      <c r="I31" s="99" t="s">
        <v>31</v>
      </c>
      <c r="J31" s="98" t="s">
        <v>32</v>
      </c>
      <c r="K31" s="100">
        <v>2</v>
      </c>
      <c r="L31" s="100">
        <v>1</v>
      </c>
      <c r="M31" s="100">
        <v>842</v>
      </c>
      <c r="N31" s="128">
        <v>1403</v>
      </c>
      <c r="O31" s="100" t="s">
        <v>31</v>
      </c>
      <c r="P31" s="23">
        <f t="shared" si="2"/>
        <v>2806</v>
      </c>
      <c r="Q31" s="217">
        <f t="shared" si="3"/>
        <v>0.5</v>
      </c>
      <c r="R31" s="126" t="e">
        <f>VLOOKUP(G31,#REF!,11,0)*Q31</f>
        <v>#REF!</v>
      </c>
      <c r="S31" s="98" t="s">
        <v>33</v>
      </c>
      <c r="T31" s="98" t="s">
        <v>31</v>
      </c>
      <c r="U31" s="98">
        <v>2</v>
      </c>
      <c r="V31" s="99">
        <v>0</v>
      </c>
      <c r="W31" s="99">
        <v>0</v>
      </c>
      <c r="X31" s="98" t="s">
        <v>33</v>
      </c>
      <c r="Y31" s="99">
        <v>3</v>
      </c>
      <c r="Z31" s="99" t="s">
        <v>55</v>
      </c>
      <c r="AA31" s="99" t="s">
        <v>31</v>
      </c>
      <c r="AB31" s="98" t="s">
        <v>434</v>
      </c>
      <c r="AC31" s="185" t="s">
        <v>436</v>
      </c>
      <c r="AD31" s="185" t="s">
        <v>437</v>
      </c>
      <c r="AE31" s="185" t="s">
        <v>185</v>
      </c>
      <c r="AF31" s="185"/>
      <c r="AG31" s="185"/>
      <c r="AH31" s="185"/>
      <c r="AI31" s="185" t="s">
        <v>454</v>
      </c>
      <c r="AJ31" s="188">
        <v>0</v>
      </c>
      <c r="AK31" s="120">
        <f>AJ31*'BU FACILITIES'!$G$21</f>
        <v>0</v>
      </c>
      <c r="AL31" s="188">
        <v>0</v>
      </c>
      <c r="AM31" s="121">
        <f>PRODUCT( AL31,'BU FACILITIES'!$G$22)</f>
        <v>0</v>
      </c>
      <c r="AN31" s="185" t="s">
        <v>407</v>
      </c>
      <c r="AO31" s="185"/>
      <c r="AP31" s="125" t="str">
        <f>IF(AO31=1,'BU FACILITIES'!$G$23,"")</f>
        <v/>
      </c>
      <c r="AQ31" s="185">
        <v>0</v>
      </c>
      <c r="AR31" s="185">
        <v>500</v>
      </c>
      <c r="AS31" s="185"/>
      <c r="AT31" s="185">
        <v>0</v>
      </c>
      <c r="AU31" s="185">
        <v>500</v>
      </c>
      <c r="AV31" s="185"/>
      <c r="AW31" s="185"/>
      <c r="AX31" s="185"/>
      <c r="AY31" s="185"/>
      <c r="AZ31" s="185">
        <v>0</v>
      </c>
      <c r="BA31" s="185">
        <v>3</v>
      </c>
      <c r="BB31" s="185"/>
      <c r="BC31" s="185"/>
      <c r="BD31" s="185"/>
    </row>
    <row r="32" spans="1:56" x14ac:dyDescent="0.25">
      <c r="A32" s="98" t="s">
        <v>24</v>
      </c>
      <c r="B32" s="98" t="s">
        <v>25</v>
      </c>
      <c r="C32" s="98" t="s">
        <v>26</v>
      </c>
      <c r="D32" s="98" t="s">
        <v>91</v>
      </c>
      <c r="E32" s="98" t="s">
        <v>28</v>
      </c>
      <c r="F32" s="98">
        <v>2023</v>
      </c>
      <c r="G32" s="99" t="s">
        <v>76</v>
      </c>
      <c r="H32" s="100" t="s">
        <v>76</v>
      </c>
      <c r="I32" s="78" t="s">
        <v>31</v>
      </c>
      <c r="J32" s="98" t="s">
        <v>32</v>
      </c>
      <c r="K32" s="100">
        <v>2</v>
      </c>
      <c r="L32" s="100">
        <v>1</v>
      </c>
      <c r="M32" s="100">
        <v>842</v>
      </c>
      <c r="N32" s="128">
        <v>1403</v>
      </c>
      <c r="O32" s="100" t="s">
        <v>31</v>
      </c>
      <c r="P32" s="23">
        <f t="shared" si="2"/>
        <v>2806</v>
      </c>
      <c r="Q32" s="217">
        <f t="shared" si="3"/>
        <v>0.5</v>
      </c>
      <c r="R32" s="126" t="e">
        <f>VLOOKUP(G32,#REF!,11,0)*Q32</f>
        <v>#REF!</v>
      </c>
      <c r="S32" s="98" t="s">
        <v>33</v>
      </c>
      <c r="T32" s="98" t="s">
        <v>31</v>
      </c>
      <c r="U32" s="98">
        <v>2</v>
      </c>
      <c r="V32" s="99">
        <v>0</v>
      </c>
      <c r="W32" s="99">
        <v>0</v>
      </c>
      <c r="X32" s="98" t="s">
        <v>33</v>
      </c>
      <c r="Y32" s="99">
        <v>3</v>
      </c>
      <c r="Z32" s="99" t="s">
        <v>55</v>
      </c>
      <c r="AA32" s="99" t="s">
        <v>31</v>
      </c>
      <c r="AB32" s="98" t="s">
        <v>434</v>
      </c>
      <c r="AC32" s="185" t="s">
        <v>438</v>
      </c>
      <c r="AD32" s="185"/>
      <c r="AE32" s="185" t="s">
        <v>403</v>
      </c>
      <c r="AF32" s="185" t="s">
        <v>402</v>
      </c>
      <c r="AG32" s="185"/>
      <c r="AH32" s="185"/>
      <c r="AI32" s="185" t="s">
        <v>402</v>
      </c>
      <c r="AJ32" s="188">
        <v>0</v>
      </c>
      <c r="AK32" s="120">
        <f>AJ32*'BU FACILITIES'!$G$21</f>
        <v>0</v>
      </c>
      <c r="AL32" s="188">
        <v>0</v>
      </c>
      <c r="AM32" s="121">
        <f>PRODUCT( AL32,'BU FACILITIES'!$G$22)</f>
        <v>0</v>
      </c>
      <c r="AN32" s="185" t="s">
        <v>402</v>
      </c>
      <c r="AO32" s="185"/>
      <c r="AP32" s="125" t="str">
        <f>IF(AO32=1,'BU FACILITIES'!$G$23,"")</f>
        <v/>
      </c>
      <c r="AQ32" s="185">
        <v>0</v>
      </c>
      <c r="AR32" s="185">
        <v>300</v>
      </c>
      <c r="AS32" s="185"/>
      <c r="AT32" s="185">
        <v>0</v>
      </c>
      <c r="AU32" s="185">
        <v>100</v>
      </c>
      <c r="AV32" s="185"/>
      <c r="AW32" s="185">
        <v>0</v>
      </c>
      <c r="AX32" s="185">
        <v>20</v>
      </c>
      <c r="AY32" s="185"/>
      <c r="AZ32" s="185"/>
      <c r="BA32" s="185"/>
      <c r="BB32" s="185"/>
      <c r="BC32" s="185"/>
      <c r="BD32" s="185"/>
    </row>
    <row r="33" spans="1:56" x14ac:dyDescent="0.25">
      <c r="A33" s="98" t="s">
        <v>24</v>
      </c>
      <c r="B33" s="98" t="s">
        <v>25</v>
      </c>
      <c r="C33" s="98" t="s">
        <v>26</v>
      </c>
      <c r="D33" s="98" t="s">
        <v>91</v>
      </c>
      <c r="E33" s="98" t="s">
        <v>28</v>
      </c>
      <c r="F33" s="98">
        <v>2023</v>
      </c>
      <c r="G33" s="99" t="s">
        <v>404</v>
      </c>
      <c r="H33" s="99" t="s">
        <v>52</v>
      </c>
      <c r="I33" s="99" t="s">
        <v>31</v>
      </c>
      <c r="J33" s="98" t="s">
        <v>32</v>
      </c>
      <c r="K33" s="100">
        <v>2</v>
      </c>
      <c r="L33" s="100">
        <v>1</v>
      </c>
      <c r="M33" s="100">
        <v>842</v>
      </c>
      <c r="N33" s="128">
        <v>1403</v>
      </c>
      <c r="O33" s="100" t="s">
        <v>31</v>
      </c>
      <c r="P33" s="23">
        <f t="shared" si="2"/>
        <v>4209</v>
      </c>
      <c r="Q33" s="217">
        <f t="shared" si="3"/>
        <v>0.33333333333333331</v>
      </c>
      <c r="R33" s="126" t="e">
        <f>VLOOKUP(G33,#REF!,11,0)*Q33</f>
        <v>#REF!</v>
      </c>
      <c r="S33" s="98" t="s">
        <v>33</v>
      </c>
      <c r="T33" s="98" t="s">
        <v>31</v>
      </c>
      <c r="U33" s="98">
        <v>2</v>
      </c>
      <c r="V33" s="99">
        <v>0</v>
      </c>
      <c r="W33" s="99">
        <v>0</v>
      </c>
      <c r="X33" s="98" t="s">
        <v>33</v>
      </c>
      <c r="Y33" s="99">
        <v>3</v>
      </c>
      <c r="Z33" s="99" t="s">
        <v>34</v>
      </c>
      <c r="AA33" s="99" t="s">
        <v>31</v>
      </c>
      <c r="AB33" s="98" t="s">
        <v>434</v>
      </c>
      <c r="AC33" s="185" t="s">
        <v>439</v>
      </c>
      <c r="AD33" s="185">
        <v>5</v>
      </c>
      <c r="AE33" s="185" t="s">
        <v>403</v>
      </c>
      <c r="AF33" s="185"/>
      <c r="AG33" s="185"/>
      <c r="AH33" s="185"/>
      <c r="AI33" s="185"/>
      <c r="AJ33" s="185"/>
      <c r="AK33" s="120">
        <f>AJ33*'BU FACILITIES'!$G$21</f>
        <v>0</v>
      </c>
      <c r="AL33" s="188">
        <v>0</v>
      </c>
      <c r="AM33" s="121">
        <f>PRODUCT( AL33,'BU FACILITIES'!$G$22)</f>
        <v>0</v>
      </c>
      <c r="AN33" s="185"/>
      <c r="AO33" s="185"/>
      <c r="AP33" s="125" t="str">
        <f>IF(AO33=1,'BU FACILITIES'!$G$23,"")</f>
        <v/>
      </c>
      <c r="AQ33" s="185"/>
      <c r="AR33" s="185"/>
      <c r="AS33" s="185"/>
      <c r="AT33" s="185"/>
      <c r="AU33" s="185"/>
      <c r="AV33" s="185"/>
      <c r="AW33" s="185"/>
      <c r="AX33" s="185"/>
      <c r="AY33" s="185"/>
      <c r="AZ33" s="185"/>
      <c r="BA33" s="185"/>
      <c r="BB33" s="185"/>
      <c r="BC33" s="185"/>
      <c r="BD33" s="185"/>
    </row>
    <row r="34" spans="1:56" x14ac:dyDescent="0.25">
      <c r="A34" s="98" t="s">
        <v>78</v>
      </c>
      <c r="B34" s="98" t="s">
        <v>25</v>
      </c>
      <c r="C34" s="98" t="s">
        <v>26</v>
      </c>
      <c r="D34" s="98" t="s">
        <v>91</v>
      </c>
      <c r="E34" s="98" t="s">
        <v>79</v>
      </c>
      <c r="F34" s="98">
        <v>2023</v>
      </c>
      <c r="G34" s="99" t="s">
        <v>61</v>
      </c>
      <c r="H34" s="100" t="s">
        <v>62</v>
      </c>
      <c r="I34" s="99" t="s">
        <v>31</v>
      </c>
      <c r="J34" s="98" t="s">
        <v>32</v>
      </c>
      <c r="K34" s="100">
        <v>1</v>
      </c>
      <c r="L34" s="100">
        <v>4</v>
      </c>
      <c r="M34" s="101">
        <v>2267</v>
      </c>
      <c r="N34" s="128">
        <v>2267</v>
      </c>
      <c r="O34" s="100" t="s">
        <v>31</v>
      </c>
      <c r="P34" s="23">
        <f t="shared" si="2"/>
        <v>7340</v>
      </c>
      <c r="Q34" s="217">
        <f t="shared" si="3"/>
        <v>0.30885558583106265</v>
      </c>
      <c r="R34" s="126" t="e">
        <f>VLOOKUP(G34,#REF!,11,0)*Q34</f>
        <v>#REF!</v>
      </c>
      <c r="S34" s="98" t="s">
        <v>33</v>
      </c>
      <c r="T34" s="98" t="s">
        <v>31</v>
      </c>
      <c r="U34" s="98">
        <v>8</v>
      </c>
      <c r="V34" s="99">
        <v>0</v>
      </c>
      <c r="W34" s="99">
        <v>0</v>
      </c>
      <c r="X34" s="98" t="s">
        <v>33</v>
      </c>
      <c r="Y34" s="99">
        <v>1.5</v>
      </c>
      <c r="Z34" s="99" t="s">
        <v>34</v>
      </c>
      <c r="AA34" s="99" t="s">
        <v>31</v>
      </c>
      <c r="AB34" s="98" t="s">
        <v>31</v>
      </c>
      <c r="AC34" s="185" t="s">
        <v>440</v>
      </c>
      <c r="AD34" s="185"/>
      <c r="AE34" s="185" t="s">
        <v>403</v>
      </c>
      <c r="AF34" s="189" t="s">
        <v>185</v>
      </c>
      <c r="AG34" s="189"/>
      <c r="AH34" s="189"/>
      <c r="AI34" s="189" t="s">
        <v>185</v>
      </c>
      <c r="AJ34" s="189"/>
      <c r="AK34" s="120">
        <f>AJ34*'BU FACILITIES'!$G$21</f>
        <v>0</v>
      </c>
      <c r="AL34" s="188">
        <v>0</v>
      </c>
      <c r="AM34" s="121">
        <f>PRODUCT( AL34,'BU FACILITIES'!$G$22)</f>
        <v>0</v>
      </c>
      <c r="AN34" s="189" t="s">
        <v>185</v>
      </c>
      <c r="AO34" s="189"/>
      <c r="AP34" s="125" t="str">
        <f>IF(AO34=1,'BU FACILITIES'!$G$23,"")</f>
        <v/>
      </c>
      <c r="AQ34" s="189">
        <f>2*0</f>
        <v>0</v>
      </c>
      <c r="AR34" s="189">
        <f>300*0</f>
        <v>0</v>
      </c>
      <c r="AS34" s="189"/>
      <c r="AT34" s="185"/>
      <c r="AU34" s="185"/>
      <c r="AV34" s="185"/>
      <c r="AW34" s="185"/>
      <c r="AX34" s="185"/>
      <c r="AY34" s="185"/>
      <c r="AZ34" s="185"/>
      <c r="BA34" s="185"/>
      <c r="BB34" s="185"/>
      <c r="BC34" s="185"/>
      <c r="BD34" s="185"/>
    </row>
    <row r="35" spans="1:56" x14ac:dyDescent="0.25">
      <c r="A35" s="98" t="s">
        <v>90</v>
      </c>
      <c r="B35" s="98" t="s">
        <v>25</v>
      </c>
      <c r="C35" s="98" t="s">
        <v>26</v>
      </c>
      <c r="D35" s="98" t="s">
        <v>91</v>
      </c>
      <c r="E35" s="98" t="s">
        <v>92</v>
      </c>
      <c r="F35" s="98">
        <v>2023</v>
      </c>
      <c r="G35" s="100" t="s">
        <v>100</v>
      </c>
      <c r="H35" s="100" t="s">
        <v>57</v>
      </c>
      <c r="I35" s="100" t="s">
        <v>31</v>
      </c>
      <c r="J35" s="102" t="s">
        <v>32</v>
      </c>
      <c r="K35" s="100">
        <v>1</v>
      </c>
      <c r="L35" s="100">
        <v>6</v>
      </c>
      <c r="M35" s="100">
        <v>475</v>
      </c>
      <c r="N35" s="128">
        <v>2850</v>
      </c>
      <c r="O35" s="100" t="s">
        <v>31</v>
      </c>
      <c r="P35" s="23">
        <f t="shared" si="2"/>
        <v>5700</v>
      </c>
      <c r="Q35" s="217">
        <f t="shared" si="3"/>
        <v>0.5</v>
      </c>
      <c r="R35" s="126" t="e">
        <f>VLOOKUP(G35,#REF!,11,0)*Q35</f>
        <v>#REF!</v>
      </c>
      <c r="S35" s="102" t="s">
        <v>33</v>
      </c>
      <c r="T35" s="98">
        <v>1620.75</v>
      </c>
      <c r="U35" s="102">
        <v>2</v>
      </c>
      <c r="V35" s="100" t="s">
        <v>31</v>
      </c>
      <c r="W35" s="100" t="s">
        <v>31</v>
      </c>
      <c r="X35" s="98" t="s">
        <v>93</v>
      </c>
      <c r="Y35" s="102">
        <v>1.5</v>
      </c>
      <c r="Z35" s="102" t="s">
        <v>94</v>
      </c>
      <c r="AA35" s="102" t="s">
        <v>31</v>
      </c>
      <c r="AB35" s="102" t="s">
        <v>95</v>
      </c>
      <c r="AC35" s="185" t="s">
        <v>441</v>
      </c>
      <c r="AD35" s="185"/>
      <c r="AE35" s="185" t="s">
        <v>403</v>
      </c>
      <c r="AF35" s="185"/>
      <c r="AG35" s="185"/>
      <c r="AH35" s="185"/>
      <c r="AI35" s="185"/>
      <c r="AJ35" s="185"/>
      <c r="AK35" s="120">
        <f>AJ35*'BU FACILITIES'!$G$21</f>
        <v>0</v>
      </c>
      <c r="AL35" s="188">
        <v>0</v>
      </c>
      <c r="AM35" s="121">
        <f>PRODUCT( AL35,'BU FACILITIES'!$G$22)</f>
        <v>0</v>
      </c>
      <c r="AN35" s="185"/>
      <c r="AO35" s="185"/>
      <c r="AP35" s="125" t="str">
        <f>IF(AO35=1,'BU FACILITIES'!$G$23,"")</f>
        <v/>
      </c>
      <c r="AQ35" s="185"/>
      <c r="AR35" s="185"/>
      <c r="AS35" s="185"/>
      <c r="AT35" s="185"/>
      <c r="AU35" s="185"/>
      <c r="AV35" s="185"/>
      <c r="AW35" s="185"/>
      <c r="AX35" s="185"/>
      <c r="AY35" s="185"/>
      <c r="AZ35" s="185"/>
      <c r="BA35" s="185"/>
      <c r="BB35" s="185"/>
      <c r="BC35" s="185"/>
      <c r="BD35" s="185"/>
    </row>
    <row r="36" spans="1:56" x14ac:dyDescent="0.25">
      <c r="A36" s="103" t="s">
        <v>90</v>
      </c>
      <c r="B36" s="104" t="s">
        <v>25</v>
      </c>
      <c r="C36" s="104" t="s">
        <v>26</v>
      </c>
      <c r="D36" s="104" t="s">
        <v>91</v>
      </c>
      <c r="E36" s="104" t="s">
        <v>92</v>
      </c>
      <c r="F36" s="104">
        <v>2023</v>
      </c>
      <c r="G36" s="78" t="s">
        <v>138</v>
      </c>
      <c r="H36" s="78" t="s">
        <v>135</v>
      </c>
      <c r="I36" s="78" t="s">
        <v>31</v>
      </c>
      <c r="J36" s="104" t="s">
        <v>32</v>
      </c>
      <c r="K36" s="78">
        <v>1</v>
      </c>
      <c r="L36" s="78">
        <v>2</v>
      </c>
      <c r="M36" s="78">
        <v>475</v>
      </c>
      <c r="N36" s="130">
        <v>950</v>
      </c>
      <c r="O36" s="78" t="s">
        <v>31</v>
      </c>
      <c r="P36" s="23">
        <f t="shared" si="2"/>
        <v>1900</v>
      </c>
      <c r="Q36" s="217">
        <f t="shared" si="3"/>
        <v>0.5</v>
      </c>
      <c r="R36" s="126" t="e">
        <f>VLOOKUP(G36,#REF!,11,0)*Q36</f>
        <v>#REF!</v>
      </c>
      <c r="S36" s="104" t="s">
        <v>33</v>
      </c>
      <c r="T36" s="104">
        <v>1620.75</v>
      </c>
      <c r="U36" s="104">
        <v>2</v>
      </c>
      <c r="V36" s="78" t="s">
        <v>31</v>
      </c>
      <c r="W36" s="78" t="s">
        <v>31</v>
      </c>
      <c r="X36" s="105" t="s">
        <v>93</v>
      </c>
      <c r="Y36" s="103">
        <v>1.5</v>
      </c>
      <c r="Z36" s="106" t="s">
        <v>94</v>
      </c>
      <c r="AA36" s="107" t="s">
        <v>31</v>
      </c>
      <c r="AB36" s="103" t="s">
        <v>95</v>
      </c>
      <c r="AC36" s="185" t="s">
        <v>442</v>
      </c>
      <c r="AD36" s="185">
        <v>5</v>
      </c>
      <c r="AE36" s="185" t="s">
        <v>403</v>
      </c>
      <c r="AF36" s="185"/>
      <c r="AG36" s="185"/>
      <c r="AH36" s="185"/>
      <c r="AI36" s="185"/>
      <c r="AJ36" s="185"/>
      <c r="AK36" s="120">
        <f>AJ36*'BU FACILITIES'!$G$21</f>
        <v>0</v>
      </c>
      <c r="AL36" s="188">
        <v>0</v>
      </c>
      <c r="AM36" s="121">
        <f>PRODUCT( AL36,'BU FACILITIES'!$G$22)</f>
        <v>0</v>
      </c>
      <c r="AN36" s="185"/>
      <c r="AO36" s="185"/>
      <c r="AP36" s="125" t="str">
        <f>IF(AO36=1,'BU FACILITIES'!$G$23,"")</f>
        <v/>
      </c>
      <c r="AQ36" s="185"/>
      <c r="AR36" s="185"/>
      <c r="AS36" s="185"/>
      <c r="AT36" s="185"/>
      <c r="AU36" s="185"/>
      <c r="AV36" s="185"/>
      <c r="AW36" s="185"/>
      <c r="AX36" s="185"/>
      <c r="AY36" s="185"/>
      <c r="AZ36" s="185"/>
      <c r="BA36" s="185"/>
      <c r="BB36" s="185"/>
      <c r="BC36" s="185"/>
      <c r="BD36" s="185"/>
    </row>
    <row r="37" spans="1:56" x14ac:dyDescent="0.25">
      <c r="A37" s="103" t="s">
        <v>90</v>
      </c>
      <c r="B37" s="104" t="s">
        <v>25</v>
      </c>
      <c r="C37" s="104" t="s">
        <v>26</v>
      </c>
      <c r="D37" s="104" t="s">
        <v>91</v>
      </c>
      <c r="E37" s="104" t="s">
        <v>92</v>
      </c>
      <c r="F37" s="104">
        <v>2023</v>
      </c>
      <c r="G37" s="78" t="s">
        <v>142</v>
      </c>
      <c r="H37" s="78" t="s">
        <v>62</v>
      </c>
      <c r="I37" s="78" t="s">
        <v>31</v>
      </c>
      <c r="J37" s="104" t="s">
        <v>32</v>
      </c>
      <c r="K37" s="78">
        <v>1</v>
      </c>
      <c r="L37" s="78">
        <v>6</v>
      </c>
      <c r="M37" s="78">
        <v>475</v>
      </c>
      <c r="N37" s="132">
        <v>2850</v>
      </c>
      <c r="O37" s="78" t="s">
        <v>31</v>
      </c>
      <c r="P37" s="23">
        <f t="shared" si="2"/>
        <v>8100</v>
      </c>
      <c r="Q37" s="217">
        <f t="shared" si="3"/>
        <v>0.35185185185185186</v>
      </c>
      <c r="R37" s="126" t="e">
        <f>VLOOKUP(G37,#REF!,11,0)*Q37</f>
        <v>#REF!</v>
      </c>
      <c r="S37" s="104" t="s">
        <v>33</v>
      </c>
      <c r="T37" s="104">
        <v>1620.75</v>
      </c>
      <c r="U37" s="104">
        <v>2</v>
      </c>
      <c r="V37" s="78" t="s">
        <v>31</v>
      </c>
      <c r="W37" s="78" t="s">
        <v>31</v>
      </c>
      <c r="X37" s="104" t="s">
        <v>93</v>
      </c>
      <c r="Y37" s="104">
        <v>1.5</v>
      </c>
      <c r="Z37" s="104" t="s">
        <v>94</v>
      </c>
      <c r="AA37" s="104" t="s">
        <v>31</v>
      </c>
      <c r="AB37" s="104" t="s">
        <v>95</v>
      </c>
      <c r="AC37" s="185" t="s">
        <v>443</v>
      </c>
      <c r="AD37" s="185">
        <v>4</v>
      </c>
      <c r="AE37" s="185" t="s">
        <v>403</v>
      </c>
      <c r="AF37" s="185"/>
      <c r="AG37" s="185"/>
      <c r="AH37" s="185"/>
      <c r="AI37" s="185"/>
      <c r="AJ37" s="185"/>
      <c r="AK37" s="120">
        <f>AJ37*'BU FACILITIES'!$G$21</f>
        <v>0</v>
      </c>
      <c r="AL37" s="188">
        <v>0</v>
      </c>
      <c r="AM37" s="121">
        <f>PRODUCT( AL37,'BU FACILITIES'!$G$22)</f>
        <v>0</v>
      </c>
      <c r="AN37" s="185"/>
      <c r="AO37" s="185"/>
      <c r="AP37" s="125" t="str">
        <f>IF(AO37=1,'BU FACILITIES'!$G$23,"")</f>
        <v/>
      </c>
      <c r="AQ37" s="185"/>
      <c r="AR37" s="185"/>
      <c r="AS37" s="185"/>
      <c r="AT37" s="185"/>
      <c r="AU37" s="185"/>
      <c r="AV37" s="185"/>
      <c r="AW37" s="185"/>
      <c r="AX37" s="185"/>
      <c r="AY37" s="185"/>
      <c r="AZ37" s="185"/>
      <c r="BA37" s="185"/>
      <c r="BB37" s="185"/>
      <c r="BC37" s="185"/>
      <c r="BD37" s="185"/>
    </row>
    <row r="38" spans="1:56" x14ac:dyDescent="0.25">
      <c r="A38" s="103" t="s">
        <v>90</v>
      </c>
      <c r="B38" s="104" t="s">
        <v>25</v>
      </c>
      <c r="C38" s="104" t="s">
        <v>26</v>
      </c>
      <c r="D38" s="104" t="s">
        <v>91</v>
      </c>
      <c r="E38" s="104" t="s">
        <v>92</v>
      </c>
      <c r="F38" s="104">
        <v>2023</v>
      </c>
      <c r="G38" s="78" t="s">
        <v>145</v>
      </c>
      <c r="H38" s="78" t="s">
        <v>146</v>
      </c>
      <c r="I38" s="78" t="s">
        <v>31</v>
      </c>
      <c r="J38" s="104" t="s">
        <v>444</v>
      </c>
      <c r="K38" s="78">
        <v>1</v>
      </c>
      <c r="L38" s="78">
        <v>6</v>
      </c>
      <c r="M38" s="78">
        <v>475</v>
      </c>
      <c r="N38" s="132">
        <v>2850</v>
      </c>
      <c r="O38" s="78" t="s">
        <v>31</v>
      </c>
      <c r="P38" s="23">
        <f t="shared" si="2"/>
        <v>5700</v>
      </c>
      <c r="Q38" s="217">
        <f t="shared" si="3"/>
        <v>0.5</v>
      </c>
      <c r="R38" s="126" t="e">
        <f>VLOOKUP(G38,#REF!,11,0)*Q38</f>
        <v>#REF!</v>
      </c>
      <c r="S38" s="104" t="s">
        <v>33</v>
      </c>
      <c r="T38" s="104">
        <v>1620.75</v>
      </c>
      <c r="U38" s="104">
        <v>2</v>
      </c>
      <c r="V38" s="78" t="s">
        <v>31</v>
      </c>
      <c r="W38" s="78" t="s">
        <v>31</v>
      </c>
      <c r="X38" s="104" t="s">
        <v>93</v>
      </c>
      <c r="Y38" s="104">
        <v>1.5</v>
      </c>
      <c r="Z38" s="104" t="s">
        <v>94</v>
      </c>
      <c r="AA38" s="104" t="s">
        <v>31</v>
      </c>
      <c r="AB38" s="104" t="s">
        <v>95</v>
      </c>
      <c r="AC38" s="185" t="s">
        <v>445</v>
      </c>
      <c r="AD38" s="185">
        <v>4</v>
      </c>
      <c r="AE38" s="185" t="s">
        <v>185</v>
      </c>
      <c r="AF38" s="185"/>
      <c r="AG38" s="185"/>
      <c r="AH38" s="185"/>
      <c r="AI38" s="185" t="s">
        <v>407</v>
      </c>
      <c r="AJ38" s="188">
        <v>0</v>
      </c>
      <c r="AK38" s="120">
        <f>AJ38*'BU FACILITIES'!$G$21</f>
        <v>0</v>
      </c>
      <c r="AL38" s="188">
        <v>0</v>
      </c>
      <c r="AM38" s="121">
        <f>PRODUCT( AL38,'BU FACILITIES'!$G$22)</f>
        <v>0</v>
      </c>
      <c r="AN38" s="185"/>
      <c r="AO38" s="185"/>
      <c r="AP38" s="125" t="str">
        <f>IF(AO38=1,'BU FACILITIES'!$G$23,"")</f>
        <v/>
      </c>
      <c r="AQ38" s="185"/>
      <c r="AR38" s="185"/>
      <c r="AS38" s="185"/>
      <c r="AT38" s="185"/>
      <c r="AU38" s="185"/>
      <c r="AV38" s="185"/>
      <c r="AW38" s="185"/>
      <c r="AX38" s="185"/>
      <c r="AY38" s="185"/>
      <c r="AZ38" s="185"/>
      <c r="BA38" s="185"/>
      <c r="BB38" s="185"/>
      <c r="BC38" s="185"/>
      <c r="BD38" s="185"/>
    </row>
    <row r="39" spans="1:56" x14ac:dyDescent="0.25">
      <c r="A39" s="103" t="s">
        <v>90</v>
      </c>
      <c r="B39" s="104" t="s">
        <v>25</v>
      </c>
      <c r="C39" s="104" t="s">
        <v>26</v>
      </c>
      <c r="D39" s="104" t="s">
        <v>91</v>
      </c>
      <c r="E39" s="104" t="s">
        <v>92</v>
      </c>
      <c r="F39" s="104">
        <v>2023</v>
      </c>
      <c r="G39" s="78" t="s">
        <v>147</v>
      </c>
      <c r="H39" s="78" t="s">
        <v>146</v>
      </c>
      <c r="I39" s="78" t="s">
        <v>31</v>
      </c>
      <c r="J39" s="104" t="s">
        <v>32</v>
      </c>
      <c r="K39" s="78">
        <v>1</v>
      </c>
      <c r="L39" s="78">
        <v>6</v>
      </c>
      <c r="M39" s="78">
        <v>475</v>
      </c>
      <c r="N39" s="132">
        <v>0</v>
      </c>
      <c r="O39" s="78" t="s">
        <v>31</v>
      </c>
      <c r="P39" s="23">
        <f t="shared" si="2"/>
        <v>2850</v>
      </c>
      <c r="Q39" s="217" t="str">
        <f t="shared" si="3"/>
        <v>0</v>
      </c>
      <c r="R39" s="126" t="e">
        <f>VLOOKUP(G39,#REF!,11,0)*Q39</f>
        <v>#REF!</v>
      </c>
      <c r="S39" s="104" t="s">
        <v>33</v>
      </c>
      <c r="T39" s="104">
        <v>1620.75</v>
      </c>
      <c r="U39" s="104">
        <v>2</v>
      </c>
      <c r="V39" s="78" t="s">
        <v>31</v>
      </c>
      <c r="W39" s="78" t="s">
        <v>31</v>
      </c>
      <c r="X39" s="104" t="s">
        <v>93</v>
      </c>
      <c r="Y39" s="104">
        <v>1.5</v>
      </c>
      <c r="Z39" s="104" t="s">
        <v>94</v>
      </c>
      <c r="AA39" s="104" t="s">
        <v>31</v>
      </c>
      <c r="AB39" s="104" t="s">
        <v>95</v>
      </c>
      <c r="AC39" s="185" t="s">
        <v>445</v>
      </c>
      <c r="AD39" s="185">
        <v>4</v>
      </c>
      <c r="AE39" s="185" t="s">
        <v>185</v>
      </c>
      <c r="AF39" s="185"/>
      <c r="AG39" s="185"/>
      <c r="AH39" s="185"/>
      <c r="AI39" s="185"/>
      <c r="AJ39" s="188"/>
      <c r="AK39" s="120">
        <f>AJ39*'BU FACILITIES'!$G$21</f>
        <v>0</v>
      </c>
      <c r="AL39" s="188">
        <v>0</v>
      </c>
      <c r="AM39" s="121">
        <f>PRODUCT( AL39,'BU FACILITIES'!$G$22)</f>
        <v>0</v>
      </c>
      <c r="AN39" s="185"/>
      <c r="AO39" s="185"/>
      <c r="AP39" s="125" t="str">
        <f>IF(AO39=1,'BU FACILITIES'!$G$23,"")</f>
        <v/>
      </c>
      <c r="AQ39" s="185"/>
      <c r="AR39" s="185"/>
      <c r="AS39" s="185"/>
      <c r="AT39" s="185"/>
      <c r="AU39" s="185"/>
      <c r="AV39" s="185"/>
      <c r="AW39" s="185"/>
      <c r="AX39" s="185"/>
      <c r="AY39" s="185"/>
      <c r="AZ39" s="185"/>
      <c r="BA39" s="185"/>
      <c r="BB39" s="185"/>
      <c r="BC39" s="185"/>
      <c r="BD39" s="185"/>
    </row>
    <row r="40" spans="1:56" x14ac:dyDescent="0.25">
      <c r="A40" s="108" t="s">
        <v>241</v>
      </c>
      <c r="B40" s="78" t="s">
        <v>242</v>
      </c>
      <c r="C40" s="78" t="s">
        <v>243</v>
      </c>
      <c r="D40" s="104" t="s">
        <v>352</v>
      </c>
      <c r="E40" s="78" t="s">
        <v>245</v>
      </c>
      <c r="F40" s="78">
        <v>2023</v>
      </c>
      <c r="G40" s="78" t="s">
        <v>251</v>
      </c>
      <c r="H40" s="78" t="s">
        <v>62</v>
      </c>
      <c r="I40" s="78" t="s">
        <v>31</v>
      </c>
      <c r="J40" s="78" t="s">
        <v>246</v>
      </c>
      <c r="K40" s="78">
        <v>0</v>
      </c>
      <c r="L40" s="78">
        <v>0</v>
      </c>
      <c r="M40" s="78">
        <v>400</v>
      </c>
      <c r="N40" s="130">
        <v>600</v>
      </c>
      <c r="O40" s="78" t="s">
        <v>31</v>
      </c>
      <c r="P40" s="23">
        <f t="shared" si="2"/>
        <v>8100</v>
      </c>
      <c r="Q40" s="217">
        <f t="shared" si="3"/>
        <v>7.407407407407407E-2</v>
      </c>
      <c r="R40" s="126" t="e">
        <f>VLOOKUP(G40,#REF!,11,0)*Q40</f>
        <v>#REF!</v>
      </c>
      <c r="S40" s="78" t="s">
        <v>247</v>
      </c>
      <c r="T40" s="78" t="s">
        <v>248</v>
      </c>
      <c r="U40" s="78" t="s">
        <v>31</v>
      </c>
      <c r="V40" s="78" t="s">
        <v>31</v>
      </c>
      <c r="W40" s="78" t="s">
        <v>31</v>
      </c>
      <c r="X40" s="78" t="s">
        <v>31</v>
      </c>
      <c r="Y40" s="78" t="s">
        <v>31</v>
      </c>
      <c r="Z40" s="78" t="s">
        <v>31</v>
      </c>
      <c r="AA40" s="78" t="s">
        <v>31</v>
      </c>
      <c r="AB40" s="78" t="s">
        <v>250</v>
      </c>
      <c r="AC40" s="185" t="s">
        <v>443</v>
      </c>
      <c r="AD40" s="185">
        <v>4</v>
      </c>
      <c r="AE40" s="185" t="s">
        <v>403</v>
      </c>
      <c r="AF40" s="185"/>
      <c r="AG40" s="185"/>
      <c r="AH40" s="185"/>
      <c r="AI40" s="185"/>
      <c r="AJ40" s="185"/>
      <c r="AK40" s="120">
        <f>AJ40*'BU FACILITIES'!$G$21</f>
        <v>0</v>
      </c>
      <c r="AL40" s="188">
        <v>0</v>
      </c>
      <c r="AM40" s="121">
        <f>PRODUCT( AL40,'BU FACILITIES'!$G$22)</f>
        <v>0</v>
      </c>
      <c r="AN40" s="185"/>
      <c r="AO40" s="185"/>
      <c r="AP40" s="125" t="str">
        <f>IF(AO40=1,'BU FACILITIES'!$G$23,"")</f>
        <v/>
      </c>
      <c r="AQ40" s="185"/>
      <c r="AR40" s="185"/>
      <c r="AS40" s="185"/>
      <c r="AT40" s="185"/>
      <c r="AU40" s="185"/>
      <c r="AV40" s="185"/>
      <c r="AW40" s="185"/>
      <c r="AX40" s="185"/>
      <c r="AY40" s="185"/>
      <c r="AZ40" s="185"/>
      <c r="BA40" s="185"/>
      <c r="BB40" s="185"/>
      <c r="BC40" s="185"/>
      <c r="BD40" s="185"/>
    </row>
    <row r="41" spans="1:56" x14ac:dyDescent="0.25">
      <c r="A41" s="108" t="s">
        <v>241</v>
      </c>
      <c r="B41" s="78" t="s">
        <v>242</v>
      </c>
      <c r="C41" s="78" t="s">
        <v>243</v>
      </c>
      <c r="D41" s="104" t="s">
        <v>352</v>
      </c>
      <c r="E41" s="78" t="s">
        <v>245</v>
      </c>
      <c r="F41" s="78">
        <v>2023</v>
      </c>
      <c r="G41" s="78" t="s">
        <v>265</v>
      </c>
      <c r="H41" s="78" t="s">
        <v>62</v>
      </c>
      <c r="I41" s="78" t="s">
        <v>31</v>
      </c>
      <c r="J41" s="78" t="s">
        <v>258</v>
      </c>
      <c r="K41" s="78">
        <v>1</v>
      </c>
      <c r="L41" s="78">
        <v>0</v>
      </c>
      <c r="M41" s="78">
        <v>400</v>
      </c>
      <c r="N41" s="130">
        <v>600</v>
      </c>
      <c r="O41" s="78" t="s">
        <v>31</v>
      </c>
      <c r="P41" s="23">
        <f t="shared" si="2"/>
        <v>2400</v>
      </c>
      <c r="Q41" s="217">
        <f t="shared" si="3"/>
        <v>0.25</v>
      </c>
      <c r="R41" s="126" t="e">
        <f>VLOOKUP(G41,#REF!,11,0)*Q41</f>
        <v>#REF!</v>
      </c>
      <c r="S41" s="78" t="s">
        <v>247</v>
      </c>
      <c r="T41" s="78" t="s">
        <v>259</v>
      </c>
      <c r="U41" s="78">
        <v>2</v>
      </c>
      <c r="V41" s="78" t="s">
        <v>31</v>
      </c>
      <c r="W41" s="78" t="s">
        <v>31</v>
      </c>
      <c r="X41" s="78" t="s">
        <v>31</v>
      </c>
      <c r="Y41" s="78" t="s">
        <v>31</v>
      </c>
      <c r="Z41" s="78" t="s">
        <v>31</v>
      </c>
      <c r="AA41" s="78" t="s">
        <v>31</v>
      </c>
      <c r="AB41" s="78" t="s">
        <v>260</v>
      </c>
      <c r="AC41" s="185" t="s">
        <v>440</v>
      </c>
      <c r="AD41" s="185"/>
      <c r="AE41" s="185" t="s">
        <v>403</v>
      </c>
      <c r="AF41" s="185"/>
      <c r="AG41" s="185"/>
      <c r="AH41" s="185"/>
      <c r="AI41" s="185"/>
      <c r="AJ41" s="185"/>
      <c r="AK41" s="120">
        <f>AJ41*'BU FACILITIES'!$G$21</f>
        <v>0</v>
      </c>
      <c r="AL41" s="188">
        <v>0</v>
      </c>
      <c r="AM41" s="121">
        <f>PRODUCT( AL41,'BU FACILITIES'!$G$22)</f>
        <v>0</v>
      </c>
      <c r="AN41" s="185"/>
      <c r="AO41" s="185"/>
      <c r="AP41" s="125" t="str">
        <f>IF(AO41=1,'BU FACILITIES'!$G$23,"")</f>
        <v/>
      </c>
      <c r="AQ41" s="185"/>
      <c r="AR41" s="185"/>
      <c r="AS41" s="185"/>
      <c r="AT41" s="185"/>
      <c r="AU41" s="185"/>
      <c r="AV41" s="185"/>
      <c r="AW41" s="185"/>
      <c r="AX41" s="185"/>
      <c r="AY41" s="185"/>
      <c r="AZ41" s="185"/>
      <c r="BA41" s="185"/>
      <c r="BB41" s="185"/>
      <c r="BC41" s="185"/>
      <c r="BD41" s="185"/>
    </row>
    <row r="42" spans="1:56" x14ac:dyDescent="0.25">
      <c r="A42" s="108" t="s">
        <v>241</v>
      </c>
      <c r="B42" s="78" t="s">
        <v>242</v>
      </c>
      <c r="C42" s="78" t="s">
        <v>243</v>
      </c>
      <c r="D42" s="104" t="s">
        <v>352</v>
      </c>
      <c r="E42" s="78" t="s">
        <v>245</v>
      </c>
      <c r="F42" s="78">
        <v>2023</v>
      </c>
      <c r="G42" s="78" t="s">
        <v>267</v>
      </c>
      <c r="H42" s="78" t="s">
        <v>57</v>
      </c>
      <c r="I42" s="78" t="s">
        <v>31</v>
      </c>
      <c r="J42" s="78" t="s">
        <v>258</v>
      </c>
      <c r="K42" s="78">
        <v>1</v>
      </c>
      <c r="L42" s="78">
        <v>0</v>
      </c>
      <c r="M42" s="78">
        <v>400</v>
      </c>
      <c r="N42" s="130">
        <v>600</v>
      </c>
      <c r="O42" s="78" t="s">
        <v>31</v>
      </c>
      <c r="P42" s="23">
        <f t="shared" si="2"/>
        <v>3600</v>
      </c>
      <c r="Q42" s="217">
        <f t="shared" si="3"/>
        <v>0.16666666666666666</v>
      </c>
      <c r="R42" s="126" t="e">
        <f>VLOOKUP(G42,#REF!,11,0)*Q42</f>
        <v>#REF!</v>
      </c>
      <c r="S42" s="78" t="s">
        <v>247</v>
      </c>
      <c r="T42" s="78" t="s">
        <v>259</v>
      </c>
      <c r="U42" s="78">
        <v>2</v>
      </c>
      <c r="V42" s="78" t="s">
        <v>31</v>
      </c>
      <c r="W42" s="78" t="s">
        <v>31</v>
      </c>
      <c r="X42" s="78" t="s">
        <v>31</v>
      </c>
      <c r="Y42" s="78" t="s">
        <v>31</v>
      </c>
      <c r="Z42" s="78" t="s">
        <v>31</v>
      </c>
      <c r="AA42" s="78" t="s">
        <v>31</v>
      </c>
      <c r="AB42" s="78" t="s">
        <v>260</v>
      </c>
      <c r="AC42" s="185" t="s">
        <v>441</v>
      </c>
      <c r="AD42" s="185"/>
      <c r="AE42" s="185" t="s">
        <v>403</v>
      </c>
      <c r="AF42" s="185"/>
      <c r="AG42" s="185"/>
      <c r="AH42" s="185"/>
      <c r="AI42" s="185"/>
      <c r="AJ42" s="185"/>
      <c r="AK42" s="120">
        <f>AJ42*'BU FACILITIES'!$G$21</f>
        <v>0</v>
      </c>
      <c r="AL42" s="188">
        <v>0</v>
      </c>
      <c r="AM42" s="121">
        <f>PRODUCT( AL42,'BU FACILITIES'!$G$22)</f>
        <v>0</v>
      </c>
      <c r="AN42" s="185"/>
      <c r="AO42" s="185"/>
      <c r="AP42" s="125" t="str">
        <f>IF(AO42=1,'BU FACILITIES'!$G$23,"")</f>
        <v/>
      </c>
      <c r="AQ42" s="185"/>
      <c r="AR42" s="185"/>
      <c r="AS42" s="185"/>
      <c r="AT42" s="185"/>
      <c r="AU42" s="185"/>
      <c r="AV42" s="185"/>
      <c r="AW42" s="185"/>
      <c r="AX42" s="185"/>
      <c r="AY42" s="185"/>
      <c r="AZ42" s="185"/>
      <c r="BA42" s="185"/>
      <c r="BB42" s="185"/>
      <c r="BC42" s="185"/>
      <c r="BD42" s="185"/>
    </row>
    <row r="43" spans="1:56" x14ac:dyDescent="0.25">
      <c r="A43" s="108" t="s">
        <v>241</v>
      </c>
      <c r="B43" s="78" t="s">
        <v>242</v>
      </c>
      <c r="C43" s="78" t="s">
        <v>243</v>
      </c>
      <c r="D43" s="104" t="s">
        <v>352</v>
      </c>
      <c r="E43" s="78" t="s">
        <v>245</v>
      </c>
      <c r="F43" s="78">
        <v>2023</v>
      </c>
      <c r="G43" s="78" t="s">
        <v>96</v>
      </c>
      <c r="H43" s="78" t="s">
        <v>64</v>
      </c>
      <c r="I43" s="78" t="s">
        <v>31</v>
      </c>
      <c r="J43" s="78" t="s">
        <v>258</v>
      </c>
      <c r="K43" s="78">
        <v>1</v>
      </c>
      <c r="L43" s="78">
        <v>0</v>
      </c>
      <c r="M43" s="78">
        <v>400</v>
      </c>
      <c r="N43" s="130">
        <v>600</v>
      </c>
      <c r="O43" s="78" t="s">
        <v>31</v>
      </c>
      <c r="P43" s="78">
        <f t="shared" si="2"/>
        <v>2400</v>
      </c>
      <c r="Q43" s="217">
        <f t="shared" si="3"/>
        <v>0.25</v>
      </c>
      <c r="R43" s="218" t="e">
        <f>VLOOKUP(G43,#REF!,11,0)*Q43</f>
        <v>#REF!</v>
      </c>
      <c r="S43" s="78" t="s">
        <v>247</v>
      </c>
      <c r="T43" s="78" t="s">
        <v>259</v>
      </c>
      <c r="U43" s="78">
        <v>2</v>
      </c>
      <c r="V43" s="78" t="s">
        <v>31</v>
      </c>
      <c r="W43" s="78" t="s">
        <v>31</v>
      </c>
      <c r="X43" s="78" t="s">
        <v>31</v>
      </c>
      <c r="Y43" s="78" t="s">
        <v>31</v>
      </c>
      <c r="Z43" s="78" t="s">
        <v>31</v>
      </c>
      <c r="AA43" s="78" t="s">
        <v>31</v>
      </c>
      <c r="AB43" s="78" t="s">
        <v>260</v>
      </c>
      <c r="AC43" s="185" t="s">
        <v>446</v>
      </c>
      <c r="AD43" s="185"/>
      <c r="AE43" s="185" t="s">
        <v>403</v>
      </c>
      <c r="AF43" s="185"/>
      <c r="AG43" s="185"/>
      <c r="AH43" s="219" t="str">
        <f>IF(AG43=1,'BU FACILITIES'!$G$24,"")</f>
        <v/>
      </c>
      <c r="AI43" s="185"/>
      <c r="AJ43" s="188"/>
      <c r="AK43" s="139">
        <f>AJ43*'BU FACILITIES'!$G$21</f>
        <v>0</v>
      </c>
      <c r="AL43" s="188">
        <v>0</v>
      </c>
      <c r="AM43" s="140">
        <f>PRODUCT( AL43,'BU FACILITIES'!$G$22)</f>
        <v>0</v>
      </c>
      <c r="AN43" s="185"/>
      <c r="AO43" s="185"/>
      <c r="AP43" s="141" t="str">
        <f>IF(AO43=1,'BU FACILITIES'!$G$23,"")</f>
        <v/>
      </c>
      <c r="AQ43" s="185"/>
      <c r="AR43" s="185"/>
      <c r="AS43" s="142" t="str">
        <f>IF(AR43=300,AQ43*'BU FACILITIES'!$G$4, IF(AND(AR43&gt;300,AR43&lt;=500), AQ43*'BU FACILITIES'!$G$5, IF(AND(AR43&gt;500,AR43&lt;=1250), AQ43*'BU FACILITIES'!$G$6, IF(AND(AR43&gt;1250,AR43&lt;=2000),AQ43*'BU FACILITIES'!$G$7, ""))))</f>
        <v/>
      </c>
      <c r="AT43" s="185"/>
      <c r="AU43" s="185"/>
      <c r="AV43" s="142" t="str">
        <f>IF(AU43=100,AT43*'BU FACILITIES'!$G$8, IF(AND(AU43&gt;100,AU43&lt;=500), AT43*'BU FACILITIES'!$G$9, IF(AND(AU43&gt;500,AU43&lt;=800), AT43*'BU FACILITIES'!$G$10, IF(AND(AU43&gt;800,AU43&lt;=1000),AT43*'BU FACILITIES'!$G$11, IF(AND(AU43&gt;1000,AU43&lt;=1400),AT43*'BU FACILITIES'!$G$12, IF(AND(AU43&gt;1400,AU43&lt;=2000),AT43*'BU FACILITIES'!$G$13,""))))))</f>
        <v/>
      </c>
      <c r="AW43" s="185"/>
      <c r="AX43" s="185"/>
      <c r="AY43" s="142" t="str">
        <f>IF(AX43=30,AW43*'BU FACILITIES'!$G$14, IF(AX43=45, AW43*'BU FACILITIES'!$G$15, IF(AX43=450, AW43*'BU FACILITIES'!$G$16, "")))</f>
        <v/>
      </c>
      <c r="AZ43" s="185"/>
      <c r="BA43" s="185"/>
      <c r="BB43" s="185" t="str">
        <f>IF(AND(BA43&gt;=1,BA43&lt;=5),'BU FACILITIES'!$G$17, IF(AND(BA43&gt;5, BA43&lt;=10), 'BU FACILITIES'!$G$18, IF(AND(BA43&gt;10,BA43&lt;=20),'BU FACILITIES'!$G$19,"")))</f>
        <v/>
      </c>
      <c r="BC43" s="185"/>
      <c r="BD43" s="190" t="str">
        <f>IF(AND(AZ43="Modificar ductería de AA",BC43=1), 'BU FACILITIES'!$G$20, "")</f>
        <v/>
      </c>
    </row>
    <row r="44" spans="1:56" x14ac:dyDescent="0.25">
      <c r="A44" s="108" t="s">
        <v>241</v>
      </c>
      <c r="B44" s="78" t="s">
        <v>242</v>
      </c>
      <c r="C44" s="78" t="s">
        <v>243</v>
      </c>
      <c r="D44" s="104" t="s">
        <v>352</v>
      </c>
      <c r="E44" s="78" t="s">
        <v>245</v>
      </c>
      <c r="F44" s="78">
        <v>2023</v>
      </c>
      <c r="G44" s="78" t="s">
        <v>251</v>
      </c>
      <c r="H44" s="78" t="s">
        <v>62</v>
      </c>
      <c r="I44" s="78" t="s">
        <v>31</v>
      </c>
      <c r="J44" s="78" t="s">
        <v>246</v>
      </c>
      <c r="K44" s="78">
        <v>0</v>
      </c>
      <c r="L44" s="78">
        <v>0</v>
      </c>
      <c r="M44" s="78">
        <v>400</v>
      </c>
      <c r="N44" s="130">
        <v>600</v>
      </c>
      <c r="O44" s="78" t="s">
        <v>31</v>
      </c>
      <c r="P44" s="23">
        <f t="shared" si="2"/>
        <v>8100</v>
      </c>
      <c r="Q44" s="217">
        <f t="shared" si="3"/>
        <v>7.407407407407407E-2</v>
      </c>
      <c r="R44" s="126" t="e">
        <f>VLOOKUP(G44,#REF!,11,0)*Q44</f>
        <v>#REF!</v>
      </c>
      <c r="S44" s="78" t="s">
        <v>247</v>
      </c>
      <c r="T44" s="78" t="s">
        <v>248</v>
      </c>
      <c r="U44" s="78" t="s">
        <v>31</v>
      </c>
      <c r="V44" s="78" t="s">
        <v>31</v>
      </c>
      <c r="W44" s="78" t="s">
        <v>31</v>
      </c>
      <c r="X44" s="78" t="s">
        <v>31</v>
      </c>
      <c r="Y44" s="78" t="s">
        <v>31</v>
      </c>
      <c r="Z44" s="78" t="s">
        <v>31</v>
      </c>
      <c r="AA44" s="78" t="s">
        <v>31</v>
      </c>
      <c r="AB44" s="78" t="s">
        <v>269</v>
      </c>
      <c r="AC44" s="185" t="s">
        <v>443</v>
      </c>
      <c r="AD44" s="185">
        <v>4</v>
      </c>
      <c r="AE44" s="185" t="s">
        <v>403</v>
      </c>
      <c r="AF44" s="185"/>
      <c r="AG44" s="185"/>
      <c r="AH44" s="185"/>
      <c r="AI44" s="185"/>
      <c r="AJ44" s="185"/>
      <c r="AK44" s="120">
        <f>AJ44*'BU FACILITIES'!$G$21</f>
        <v>0</v>
      </c>
      <c r="AL44" s="188">
        <v>0</v>
      </c>
      <c r="AM44" s="121">
        <f>PRODUCT( AL44,'BU FACILITIES'!$G$22)</f>
        <v>0</v>
      </c>
      <c r="AN44" s="185"/>
      <c r="AO44" s="185"/>
      <c r="AP44" s="125" t="str">
        <f>IF(AO44=1,'BU FACILITIES'!$G$23,"")</f>
        <v/>
      </c>
      <c r="AQ44" s="185"/>
      <c r="AR44" s="185"/>
      <c r="AS44" s="185"/>
      <c r="AT44" s="185"/>
      <c r="AU44" s="185"/>
      <c r="AV44" s="185"/>
      <c r="AW44" s="185"/>
      <c r="AX44" s="185"/>
      <c r="AY44" s="185"/>
      <c r="AZ44" s="185"/>
      <c r="BA44" s="185"/>
      <c r="BB44" s="185"/>
      <c r="BC44" s="185"/>
      <c r="BD44" s="185"/>
    </row>
    <row r="45" spans="1:56" x14ac:dyDescent="0.25">
      <c r="A45" s="108" t="s">
        <v>241</v>
      </c>
      <c r="B45" s="78" t="s">
        <v>242</v>
      </c>
      <c r="C45" s="78" t="s">
        <v>243</v>
      </c>
      <c r="D45" s="104" t="s">
        <v>352</v>
      </c>
      <c r="E45" s="78" t="s">
        <v>245</v>
      </c>
      <c r="F45" s="78">
        <v>2023</v>
      </c>
      <c r="G45" s="78" t="s">
        <v>265</v>
      </c>
      <c r="H45" s="78" t="s">
        <v>62</v>
      </c>
      <c r="I45" s="78" t="s">
        <v>31</v>
      </c>
      <c r="J45" s="78" t="s">
        <v>246</v>
      </c>
      <c r="K45" s="78">
        <v>0</v>
      </c>
      <c r="L45" s="78">
        <v>0</v>
      </c>
      <c r="M45" s="78">
        <v>400</v>
      </c>
      <c r="N45" s="130">
        <v>600</v>
      </c>
      <c r="O45" s="78" t="s">
        <v>31</v>
      </c>
      <c r="P45" s="23">
        <f t="shared" si="2"/>
        <v>2400</v>
      </c>
      <c r="Q45" s="217">
        <f t="shared" si="3"/>
        <v>0.25</v>
      </c>
      <c r="R45" s="126" t="e">
        <f>VLOOKUP(G45,#REF!,11,0)*Q45</f>
        <v>#REF!</v>
      </c>
      <c r="S45" s="78" t="s">
        <v>247</v>
      </c>
      <c r="T45" s="78" t="s">
        <v>248</v>
      </c>
      <c r="U45" s="78" t="s">
        <v>31</v>
      </c>
      <c r="V45" s="78" t="s">
        <v>31</v>
      </c>
      <c r="W45" s="78" t="s">
        <v>31</v>
      </c>
      <c r="X45" s="78" t="s">
        <v>31</v>
      </c>
      <c r="Y45" s="78" t="s">
        <v>31</v>
      </c>
      <c r="Z45" s="78" t="s">
        <v>31</v>
      </c>
      <c r="AA45" s="78" t="s">
        <v>31</v>
      </c>
      <c r="AB45" s="78" t="s">
        <v>269</v>
      </c>
      <c r="AC45" s="185" t="s">
        <v>435</v>
      </c>
      <c r="AD45" s="185"/>
      <c r="AE45" s="185" t="s">
        <v>403</v>
      </c>
      <c r="AF45" s="185"/>
      <c r="AG45" s="185"/>
      <c r="AH45" s="185"/>
      <c r="AI45" s="185"/>
      <c r="AJ45" s="185"/>
      <c r="AK45" s="120">
        <f>AJ45*'BU FACILITIES'!$G$21</f>
        <v>0</v>
      </c>
      <c r="AL45" s="188">
        <v>0</v>
      </c>
      <c r="AM45" s="121">
        <f>PRODUCT( AL45,'BU FACILITIES'!$G$22)</f>
        <v>0</v>
      </c>
      <c r="AN45" s="185"/>
      <c r="AO45" s="185"/>
      <c r="AP45" s="125" t="str">
        <f>IF(AO45=1,'BU FACILITIES'!$G$23,"")</f>
        <v/>
      </c>
      <c r="AQ45" s="185"/>
      <c r="AR45" s="185"/>
      <c r="AS45" s="185"/>
      <c r="AT45" s="185"/>
      <c r="AU45" s="185"/>
      <c r="AV45" s="185"/>
      <c r="AW45" s="185"/>
      <c r="AX45" s="185"/>
      <c r="AY45" s="185"/>
      <c r="AZ45" s="185"/>
      <c r="BA45" s="185"/>
      <c r="BB45" s="185"/>
      <c r="BC45" s="185"/>
      <c r="BD45" s="185"/>
    </row>
    <row r="46" spans="1:56" x14ac:dyDescent="0.25">
      <c r="A46" s="108" t="s">
        <v>241</v>
      </c>
      <c r="B46" s="78" t="s">
        <v>242</v>
      </c>
      <c r="C46" s="78" t="s">
        <v>243</v>
      </c>
      <c r="D46" s="104" t="s">
        <v>352</v>
      </c>
      <c r="E46" s="78" t="s">
        <v>245</v>
      </c>
      <c r="F46" s="78">
        <v>2023</v>
      </c>
      <c r="G46" s="78" t="s">
        <v>267</v>
      </c>
      <c r="H46" s="78" t="s">
        <v>57</v>
      </c>
      <c r="I46" s="78" t="s">
        <v>31</v>
      </c>
      <c r="J46" s="78" t="s">
        <v>246</v>
      </c>
      <c r="K46" s="78">
        <v>0</v>
      </c>
      <c r="L46" s="78">
        <v>0</v>
      </c>
      <c r="M46" s="78">
        <v>400</v>
      </c>
      <c r="N46" s="130">
        <v>600</v>
      </c>
      <c r="O46" s="78" t="s">
        <v>31</v>
      </c>
      <c r="P46" s="23">
        <f t="shared" si="2"/>
        <v>3600</v>
      </c>
      <c r="Q46" s="217">
        <f t="shared" si="3"/>
        <v>0.16666666666666666</v>
      </c>
      <c r="R46" s="126" t="e">
        <f>VLOOKUP(G46,#REF!,11,0)*Q46</f>
        <v>#REF!</v>
      </c>
      <c r="S46" s="78" t="s">
        <v>247</v>
      </c>
      <c r="T46" s="78" t="s">
        <v>248</v>
      </c>
      <c r="U46" s="78" t="s">
        <v>31</v>
      </c>
      <c r="V46" s="78" t="s">
        <v>31</v>
      </c>
      <c r="W46" s="78" t="s">
        <v>31</v>
      </c>
      <c r="X46" s="78" t="s">
        <v>31</v>
      </c>
      <c r="Y46" s="78" t="s">
        <v>31</v>
      </c>
      <c r="Z46" s="78" t="s">
        <v>31</v>
      </c>
      <c r="AA46" s="78" t="s">
        <v>31</v>
      </c>
      <c r="AB46" s="78" t="s">
        <v>269</v>
      </c>
      <c r="AC46" s="185" t="s">
        <v>441</v>
      </c>
      <c r="AD46" s="185"/>
      <c r="AE46" s="185" t="s">
        <v>403</v>
      </c>
      <c r="AF46" s="185"/>
      <c r="AG46" s="185"/>
      <c r="AH46" s="185"/>
      <c r="AI46" s="185"/>
      <c r="AJ46" s="185"/>
      <c r="AK46" s="120">
        <f>AJ46*'BU FACILITIES'!$G$21</f>
        <v>0</v>
      </c>
      <c r="AL46" s="188">
        <v>0</v>
      </c>
      <c r="AM46" s="121">
        <f>PRODUCT( AL46,'BU FACILITIES'!$G$22)</f>
        <v>0</v>
      </c>
      <c r="AN46" s="185"/>
      <c r="AO46" s="185"/>
      <c r="AP46" s="125" t="str">
        <f>IF(AO46=1,'BU FACILITIES'!$G$23,"")</f>
        <v/>
      </c>
      <c r="AQ46" s="185"/>
      <c r="AR46" s="185"/>
      <c r="AS46" s="185"/>
      <c r="AT46" s="185"/>
      <c r="AU46" s="185"/>
      <c r="AV46" s="185"/>
      <c r="AW46" s="185"/>
      <c r="AX46" s="185"/>
      <c r="AY46" s="185"/>
      <c r="AZ46" s="185"/>
      <c r="BA46" s="185"/>
      <c r="BB46" s="185"/>
      <c r="BC46" s="185"/>
      <c r="BD46" s="185"/>
    </row>
    <row r="47" spans="1:56" x14ac:dyDescent="0.25">
      <c r="A47" s="108" t="s">
        <v>241</v>
      </c>
      <c r="B47" s="78" t="s">
        <v>242</v>
      </c>
      <c r="C47" s="78" t="s">
        <v>243</v>
      </c>
      <c r="D47" s="104" t="s">
        <v>352</v>
      </c>
      <c r="E47" s="78" t="s">
        <v>245</v>
      </c>
      <c r="F47" s="78">
        <v>2023</v>
      </c>
      <c r="G47" s="78" t="s">
        <v>96</v>
      </c>
      <c r="H47" s="78" t="s">
        <v>64</v>
      </c>
      <c r="I47" s="78" t="s">
        <v>31</v>
      </c>
      <c r="J47" s="78" t="s">
        <v>246</v>
      </c>
      <c r="K47" s="78">
        <v>0</v>
      </c>
      <c r="L47" s="78">
        <v>0</v>
      </c>
      <c r="M47" s="78">
        <v>400</v>
      </c>
      <c r="N47" s="130">
        <v>600</v>
      </c>
      <c r="O47" s="78" t="s">
        <v>31</v>
      </c>
      <c r="P47" s="78">
        <f t="shared" si="2"/>
        <v>2400</v>
      </c>
      <c r="Q47" s="217">
        <f t="shared" si="3"/>
        <v>0.25</v>
      </c>
      <c r="R47" s="218" t="e">
        <f>VLOOKUP(G47,#REF!,11,0)*Q47</f>
        <v>#REF!</v>
      </c>
      <c r="S47" s="78" t="s">
        <v>247</v>
      </c>
      <c r="T47" s="78" t="s">
        <v>248</v>
      </c>
      <c r="U47" s="78" t="s">
        <v>31</v>
      </c>
      <c r="V47" s="78" t="s">
        <v>31</v>
      </c>
      <c r="W47" s="78" t="s">
        <v>31</v>
      </c>
      <c r="X47" s="78" t="s">
        <v>31</v>
      </c>
      <c r="Y47" s="78" t="s">
        <v>31</v>
      </c>
      <c r="Z47" s="78" t="s">
        <v>31</v>
      </c>
      <c r="AA47" s="78" t="s">
        <v>31</v>
      </c>
      <c r="AB47" s="78" t="s">
        <v>269</v>
      </c>
      <c r="AC47" s="185" t="s">
        <v>446</v>
      </c>
      <c r="AD47" s="185"/>
      <c r="AE47" s="185" t="s">
        <v>403</v>
      </c>
      <c r="AF47" s="185"/>
      <c r="AG47" s="185"/>
      <c r="AH47" s="219" t="str">
        <f>IF(AG47=1,'BU FACILITIES'!$G$24,"")</f>
        <v/>
      </c>
      <c r="AI47" s="185"/>
      <c r="AJ47" s="188"/>
      <c r="AK47" s="139">
        <f>AJ47*'BU FACILITIES'!$G$21</f>
        <v>0</v>
      </c>
      <c r="AL47" s="188">
        <v>0</v>
      </c>
      <c r="AM47" s="140">
        <f>PRODUCT( AL47,'BU FACILITIES'!$G$22)</f>
        <v>0</v>
      </c>
      <c r="AN47" s="185"/>
      <c r="AO47" s="185"/>
      <c r="AP47" s="141" t="str">
        <f>IF(AO47=1,'BU FACILITIES'!$G$23,"")</f>
        <v/>
      </c>
      <c r="AQ47" s="185"/>
      <c r="AR47" s="185"/>
      <c r="AS47" s="142" t="str">
        <f>IF(AR47=300,AQ47*'BU FACILITIES'!$G$4, IF(AND(AR47&gt;300,AR47&lt;=500), AQ47*'BU FACILITIES'!$G$5, IF(AND(AR47&gt;500,AR47&lt;=1250), AQ47*'BU FACILITIES'!$G$6, IF(AND(AR47&gt;1250,AR47&lt;=2000),AQ47*'BU FACILITIES'!$G$7, ""))))</f>
        <v/>
      </c>
      <c r="AT47" s="185"/>
      <c r="AU47" s="185"/>
      <c r="AV47" s="142" t="str">
        <f>IF(AU47=100,AT47*'BU FACILITIES'!$G$8, IF(AND(AU47&gt;100,AU47&lt;=500), AT47*'BU FACILITIES'!$G$9, IF(AND(AU47&gt;500,AU47&lt;=800), AT47*'BU FACILITIES'!$G$10, IF(AND(AU47&gt;800,AU47&lt;=1000),AT47*'BU FACILITIES'!$G$11, IF(AND(AU47&gt;1000,AU47&lt;=1400),AT47*'BU FACILITIES'!$G$12, IF(AND(AU47&gt;1400,AU47&lt;=2000),AT47*'BU FACILITIES'!$G$13,""))))))</f>
        <v/>
      </c>
      <c r="AW47" s="185"/>
      <c r="AX47" s="185"/>
      <c r="AY47" s="142" t="str">
        <f>IF(AX47=30,AW47*'BU FACILITIES'!$G$14, IF(AX47=45, AW47*'BU FACILITIES'!$G$15, IF(AX47=450, AW47*'BU FACILITIES'!$G$16, "")))</f>
        <v/>
      </c>
      <c r="AZ47" s="185"/>
      <c r="BA47" s="185"/>
      <c r="BB47" s="185" t="str">
        <f>IF(AND(BA47&gt;=1,BA47&lt;=5),'BU FACILITIES'!$G$17, IF(AND(BA47&gt;5, BA47&lt;=10), 'BU FACILITIES'!$G$18, IF(AND(BA47&gt;10,BA47&lt;=20),'BU FACILITIES'!$G$19,"")))</f>
        <v/>
      </c>
      <c r="BC47" s="185"/>
      <c r="BD47" s="190" t="str">
        <f>IF(AND(AZ47="Modificar ductería de AA",BC47=1), 'BU FACILITIES'!$G$20, "")</f>
        <v/>
      </c>
    </row>
    <row r="48" spans="1:56" x14ac:dyDescent="0.25">
      <c r="A48" s="108" t="s">
        <v>241</v>
      </c>
      <c r="B48" s="78" t="s">
        <v>242</v>
      </c>
      <c r="C48" s="78" t="s">
        <v>243</v>
      </c>
      <c r="D48" s="104" t="s">
        <v>352</v>
      </c>
      <c r="E48" s="78" t="s">
        <v>245</v>
      </c>
      <c r="F48" s="78">
        <v>2023</v>
      </c>
      <c r="G48" s="78" t="s">
        <v>274</v>
      </c>
      <c r="H48" s="78" t="s">
        <v>57</v>
      </c>
      <c r="I48" s="78" t="s">
        <v>31</v>
      </c>
      <c r="J48" s="78" t="s">
        <v>275</v>
      </c>
      <c r="K48" s="78">
        <v>2</v>
      </c>
      <c r="L48" s="78">
        <v>2</v>
      </c>
      <c r="M48" s="138">
        <v>3800</v>
      </c>
      <c r="N48" s="132">
        <v>4100</v>
      </c>
      <c r="O48" s="78" t="s">
        <v>31</v>
      </c>
      <c r="P48" s="78">
        <f t="shared" si="2"/>
        <v>12200</v>
      </c>
      <c r="Q48" s="217">
        <f t="shared" si="3"/>
        <v>0.33606557377049179</v>
      </c>
      <c r="R48" s="218" t="e">
        <f>VLOOKUP(G48,#REF!,11,0)*Q48</f>
        <v>#REF!</v>
      </c>
      <c r="S48" s="78" t="s">
        <v>247</v>
      </c>
      <c r="T48" s="78" t="s">
        <v>276</v>
      </c>
      <c r="U48" s="78" t="s">
        <v>31</v>
      </c>
      <c r="V48" s="78" t="s">
        <v>31</v>
      </c>
      <c r="W48" s="78" t="s">
        <v>31</v>
      </c>
      <c r="X48" s="78" t="s">
        <v>31</v>
      </c>
      <c r="Y48" s="78" t="s">
        <v>31</v>
      </c>
      <c r="Z48" s="78" t="s">
        <v>31</v>
      </c>
      <c r="AA48" s="78" t="s">
        <v>31</v>
      </c>
      <c r="AB48" s="78" t="s">
        <v>277</v>
      </c>
      <c r="AC48" s="185" t="s">
        <v>447</v>
      </c>
      <c r="AD48" s="185" t="s">
        <v>448</v>
      </c>
      <c r="AE48" s="185" t="s">
        <v>403</v>
      </c>
      <c r="AF48" s="185"/>
      <c r="AG48" s="185"/>
      <c r="AH48" s="219" t="str">
        <f>IF(AG48=1,'BU FACILITIES'!$G$24,"")</f>
        <v/>
      </c>
      <c r="AI48" s="185"/>
      <c r="AJ48" s="188"/>
      <c r="AK48" s="139">
        <f>AJ48*'BU FACILITIES'!$G$21</f>
        <v>0</v>
      </c>
      <c r="AL48" s="188">
        <v>0</v>
      </c>
      <c r="AM48" s="140">
        <f>PRODUCT( AL48,'BU FACILITIES'!$G$22)</f>
        <v>0</v>
      </c>
      <c r="AN48" s="185"/>
      <c r="AO48" s="185"/>
      <c r="AP48" s="141" t="str">
        <f>IF(AO48=1,'BU FACILITIES'!$G$23,"")</f>
        <v/>
      </c>
      <c r="AQ48" s="185"/>
      <c r="AR48" s="185"/>
      <c r="AS48" s="142" t="str">
        <f>IF(AR48=300,AQ48*'BU FACILITIES'!$G$4, IF(AND(AR48&gt;300,AR48&lt;=500), AQ48*'BU FACILITIES'!$G$5, IF(AND(AR48&gt;500,AR48&lt;=1250), AQ48*'BU FACILITIES'!$G$6, IF(AND(AR48&gt;1250,AR48&lt;=2000),AQ48*'BU FACILITIES'!$G$7, ""))))</f>
        <v/>
      </c>
      <c r="AT48" s="185"/>
      <c r="AU48" s="185"/>
      <c r="AV48" s="142" t="str">
        <f>IF(AU48=100,AT48*'BU FACILITIES'!$G$8, IF(AND(AU48&gt;100,AU48&lt;=500), AT48*'BU FACILITIES'!$G$9, IF(AND(AU48&gt;500,AU48&lt;=800), AT48*'BU FACILITIES'!$G$10, IF(AND(AU48&gt;800,AU48&lt;=1000),AT48*'BU FACILITIES'!$G$11, IF(AND(AU48&gt;1000,AU48&lt;=1400),AT48*'BU FACILITIES'!$G$12, IF(AND(AU48&gt;1400,AU48&lt;=2000),AT48*'BU FACILITIES'!$G$13,""))))))</f>
        <v/>
      </c>
      <c r="AW48" s="185"/>
      <c r="AX48" s="185"/>
      <c r="AY48" s="142" t="str">
        <f>IF(AX48=30,AW48*'BU FACILITIES'!$G$14, IF(AX48=45, AW48*'BU FACILITIES'!$G$15, IF(AX48=450, AW48*'BU FACILITIES'!$G$16, "")))</f>
        <v/>
      </c>
      <c r="AZ48" s="185"/>
      <c r="BA48" s="185"/>
      <c r="BB48" s="185" t="str">
        <f>IF(AND(BA48&gt;=1,BA48&lt;=5),'BU FACILITIES'!$G$17, IF(AND(BA48&gt;5, BA48&lt;=10), 'BU FACILITIES'!$G$18, IF(AND(BA48&gt;10,BA48&lt;=20),'BU FACILITIES'!$G$19,"")))</f>
        <v/>
      </c>
      <c r="BC48" s="185"/>
      <c r="BD48" s="190" t="str">
        <f>IF(AND(AZ48="Modificar ductería de AA",BC48=1), 'BU FACILITIES'!$G$20, "")</f>
        <v/>
      </c>
    </row>
    <row r="49" spans="1:56" x14ac:dyDescent="0.25">
      <c r="A49" s="108" t="s">
        <v>241</v>
      </c>
      <c r="B49" s="78" t="s">
        <v>242</v>
      </c>
      <c r="C49" s="78" t="s">
        <v>278</v>
      </c>
      <c r="D49" s="104" t="s">
        <v>352</v>
      </c>
      <c r="E49" s="78" t="s">
        <v>245</v>
      </c>
      <c r="F49" s="78">
        <v>2023</v>
      </c>
      <c r="G49" s="78" t="s">
        <v>274</v>
      </c>
      <c r="H49" s="78" t="s">
        <v>57</v>
      </c>
      <c r="I49" s="78" t="s">
        <v>31</v>
      </c>
      <c r="J49" s="78" t="s">
        <v>246</v>
      </c>
      <c r="K49" s="78" t="s">
        <v>31</v>
      </c>
      <c r="L49" s="78">
        <v>2</v>
      </c>
      <c r="M49" s="138">
        <v>1500</v>
      </c>
      <c r="N49" s="132">
        <v>2000</v>
      </c>
      <c r="O49" s="78" t="s">
        <v>31</v>
      </c>
      <c r="P49" s="78">
        <f t="shared" si="2"/>
        <v>12200</v>
      </c>
      <c r="Q49" s="217">
        <f t="shared" si="3"/>
        <v>0.16393442622950818</v>
      </c>
      <c r="R49" s="218" t="e">
        <f>VLOOKUP(G49,#REF!,11,0)*Q49</f>
        <v>#REF!</v>
      </c>
      <c r="S49" s="78" t="s">
        <v>247</v>
      </c>
      <c r="T49" s="78" t="s">
        <v>279</v>
      </c>
      <c r="U49" s="78" t="s">
        <v>31</v>
      </c>
      <c r="V49" s="78" t="s">
        <v>31</v>
      </c>
      <c r="W49" s="78" t="s">
        <v>31</v>
      </c>
      <c r="X49" s="78" t="s">
        <v>31</v>
      </c>
      <c r="Y49" s="78" t="s">
        <v>31</v>
      </c>
      <c r="Z49" s="78" t="s">
        <v>31</v>
      </c>
      <c r="AA49" s="78" t="s">
        <v>31</v>
      </c>
      <c r="AB49" s="78" t="s">
        <v>280</v>
      </c>
      <c r="AC49" s="185" t="s">
        <v>447</v>
      </c>
      <c r="AD49" s="185" t="s">
        <v>448</v>
      </c>
      <c r="AE49" s="185" t="s">
        <v>403</v>
      </c>
      <c r="AF49" s="185"/>
      <c r="AG49" s="185"/>
      <c r="AH49" s="219" t="str">
        <f>IF(AG49=1,'BU FACILITIES'!$G$24,"")</f>
        <v/>
      </c>
      <c r="AI49" s="185"/>
      <c r="AJ49" s="188"/>
      <c r="AK49" s="139">
        <f>AJ49*'BU FACILITIES'!$G$21</f>
        <v>0</v>
      </c>
      <c r="AL49" s="185">
        <v>0</v>
      </c>
      <c r="AM49" s="140">
        <f>PRODUCT( AL49,'BU FACILITIES'!$G$22)</f>
        <v>0</v>
      </c>
      <c r="AN49" s="185"/>
      <c r="AO49" s="185"/>
      <c r="AP49" s="141" t="str">
        <f>IF(AO49=1,'BU FACILITIES'!$G$23,"")</f>
        <v/>
      </c>
      <c r="AQ49" s="185"/>
      <c r="AR49" s="185"/>
      <c r="AS49" s="142" t="str">
        <f>IF(AR49=300,AQ49*'BU FACILITIES'!$G$4, IF(AND(AR49&gt;300,AR49&lt;=500), AQ49*'BU FACILITIES'!$G$5, IF(AND(AR49&gt;500,AR49&lt;=1250), AQ49*'BU FACILITIES'!$G$6, IF(AND(AR49&gt;1250,AR49&lt;=2000),AQ49*'BU FACILITIES'!$G$7, ""))))</f>
        <v/>
      </c>
      <c r="AT49" s="185"/>
      <c r="AU49" s="185"/>
      <c r="AV49" s="142" t="str">
        <f>IF(AU49=100,AT49*'BU FACILITIES'!$G$8, IF(AND(AU49&gt;100,AU49&lt;=500), AT49*'BU FACILITIES'!$G$9, IF(AND(AU49&gt;500,AU49&lt;=800), AT49*'BU FACILITIES'!$G$10, IF(AND(AU49&gt;800,AU49&lt;=1000),AT49*'BU FACILITIES'!$G$11, IF(AND(AU49&gt;1000,AU49&lt;=1400),AT49*'BU FACILITIES'!$G$12, IF(AND(AU49&gt;1400,AU49&lt;=2000),AT49*'BU FACILITIES'!$G$13,""))))))</f>
        <v/>
      </c>
      <c r="AW49" s="185"/>
      <c r="AX49" s="185"/>
      <c r="AY49" s="142" t="str">
        <f>IF(AX49=30,AW49*'BU FACILITIES'!$G$14, IF(AX49=45, AW49*'BU FACILITIES'!$G$15, IF(AX49=450, AW49*'BU FACILITIES'!$G$16, "")))</f>
        <v/>
      </c>
      <c r="AZ49" s="185"/>
      <c r="BA49" s="185"/>
      <c r="BB49" s="185" t="str">
        <f>IF(AND(BA49&gt;=1,BA49&lt;=5),'BU FACILITIES'!$G$17, IF(AND(BA49&gt;5, BA49&lt;=10), 'BU FACILITIES'!$G$18, IF(AND(BA49&gt;10,BA49&lt;=20),'BU FACILITIES'!$G$19,"")))</f>
        <v/>
      </c>
      <c r="BC49" s="185"/>
      <c r="BD49" s="190" t="str">
        <f>IF(AND(AZ49="Modificar ductería de AA",BC49=1), 'BU FACILITIES'!$G$20, "")</f>
        <v/>
      </c>
    </row>
    <row r="50" spans="1:56" x14ac:dyDescent="0.25">
      <c r="A50" s="108" t="s">
        <v>241</v>
      </c>
      <c r="B50" s="78" t="s">
        <v>242</v>
      </c>
      <c r="C50" s="78" t="s">
        <v>243</v>
      </c>
      <c r="D50" s="104" t="s">
        <v>352</v>
      </c>
      <c r="E50" s="78" t="s">
        <v>245</v>
      </c>
      <c r="F50" s="78">
        <v>2023</v>
      </c>
      <c r="G50" s="78" t="s">
        <v>267</v>
      </c>
      <c r="H50" s="78" t="s">
        <v>57</v>
      </c>
      <c r="I50" s="78" t="s">
        <v>31</v>
      </c>
      <c r="J50" s="78" t="s">
        <v>246</v>
      </c>
      <c r="K50" s="78">
        <v>0</v>
      </c>
      <c r="L50" s="78">
        <v>0</v>
      </c>
      <c r="M50" s="78">
        <v>400</v>
      </c>
      <c r="N50" s="130">
        <v>600</v>
      </c>
      <c r="O50" s="78" t="s">
        <v>31</v>
      </c>
      <c r="P50" s="23">
        <f t="shared" si="2"/>
        <v>3600</v>
      </c>
      <c r="Q50" s="217">
        <f t="shared" si="3"/>
        <v>0.16666666666666666</v>
      </c>
      <c r="R50" s="126" t="e">
        <f>VLOOKUP(G50,#REF!,11,0)*Q50</f>
        <v>#REF!</v>
      </c>
      <c r="S50" s="78" t="s">
        <v>247</v>
      </c>
      <c r="T50" s="78" t="s">
        <v>248</v>
      </c>
      <c r="U50" s="78" t="s">
        <v>31</v>
      </c>
      <c r="V50" s="78" t="s">
        <v>31</v>
      </c>
      <c r="W50" s="78" t="s">
        <v>31</v>
      </c>
      <c r="X50" s="78" t="s">
        <v>31</v>
      </c>
      <c r="Y50" s="78" t="s">
        <v>31</v>
      </c>
      <c r="Z50" s="78" t="s">
        <v>31</v>
      </c>
      <c r="AA50" s="78" t="s">
        <v>31</v>
      </c>
      <c r="AB50" s="78" t="s">
        <v>269</v>
      </c>
      <c r="AC50" s="185" t="s">
        <v>441</v>
      </c>
      <c r="AD50" s="185"/>
      <c r="AE50" s="185" t="s">
        <v>403</v>
      </c>
      <c r="AF50" s="185"/>
      <c r="AG50" s="185"/>
      <c r="AH50" s="185"/>
      <c r="AI50" s="185"/>
      <c r="AJ50" s="185"/>
      <c r="AK50" s="120">
        <f>AJ50*'BU FACILITIES'!$G$21</f>
        <v>0</v>
      </c>
      <c r="AL50" s="188">
        <v>0</v>
      </c>
      <c r="AM50" s="121">
        <f>PRODUCT( AL50,'BU FACILITIES'!$G$22)</f>
        <v>0</v>
      </c>
      <c r="AN50" s="185"/>
      <c r="AO50" s="185"/>
      <c r="AP50" s="125" t="str">
        <f>IF(AO50=1,'BU FACILITIES'!$G$23,"")</f>
        <v/>
      </c>
      <c r="AQ50" s="185"/>
      <c r="AR50" s="185"/>
      <c r="AS50" s="185"/>
      <c r="AT50" s="185"/>
      <c r="AU50" s="185"/>
      <c r="AV50" s="185"/>
      <c r="AW50" s="185"/>
      <c r="AX50" s="185"/>
      <c r="AY50" s="185"/>
      <c r="AZ50" s="185"/>
      <c r="BA50" s="185"/>
      <c r="BB50" s="185"/>
      <c r="BC50" s="185"/>
      <c r="BD50" s="185"/>
    </row>
    <row r="51" spans="1:56" x14ac:dyDescent="0.25">
      <c r="A51" s="103" t="s">
        <v>90</v>
      </c>
      <c r="B51" s="78" t="s">
        <v>25</v>
      </c>
      <c r="C51" s="78" t="s">
        <v>26</v>
      </c>
      <c r="D51" s="104" t="s">
        <v>91</v>
      </c>
      <c r="E51" s="104" t="s">
        <v>92</v>
      </c>
      <c r="F51" s="104">
        <v>2023</v>
      </c>
      <c r="G51" s="109" t="s">
        <v>166</v>
      </c>
      <c r="H51" s="110" t="s">
        <v>167</v>
      </c>
      <c r="I51" s="111" t="s">
        <v>31</v>
      </c>
      <c r="J51" s="108" t="s">
        <v>32</v>
      </c>
      <c r="K51" s="78">
        <v>2</v>
      </c>
      <c r="L51" s="78">
        <v>4</v>
      </c>
      <c r="M51" s="78">
        <v>475</v>
      </c>
      <c r="N51" s="132">
        <v>1403</v>
      </c>
      <c r="O51" s="78" t="s">
        <v>31</v>
      </c>
      <c r="P51" s="23">
        <f t="shared" si="2"/>
        <v>2806</v>
      </c>
      <c r="Q51" s="217">
        <f t="shared" si="3"/>
        <v>0.5</v>
      </c>
      <c r="R51" s="126" t="e">
        <f>VLOOKUP(G51,#REF!,11,0)*Q51</f>
        <v>#REF!</v>
      </c>
      <c r="S51" s="78" t="s">
        <v>33</v>
      </c>
      <c r="T51" s="104">
        <v>1620.75</v>
      </c>
      <c r="U51" s="104">
        <v>4</v>
      </c>
      <c r="V51" s="78" t="s">
        <v>31</v>
      </c>
      <c r="W51" s="78" t="s">
        <v>31</v>
      </c>
      <c r="X51" s="104" t="s">
        <v>93</v>
      </c>
      <c r="Y51" s="104">
        <v>3</v>
      </c>
      <c r="Z51" s="104" t="s">
        <v>94</v>
      </c>
      <c r="AA51" s="112" t="s">
        <v>31</v>
      </c>
      <c r="AB51" s="113" t="s">
        <v>95</v>
      </c>
      <c r="AC51" s="185" t="s">
        <v>450</v>
      </c>
      <c r="AD51" s="185" t="s">
        <v>448</v>
      </c>
      <c r="AE51" s="185" t="s">
        <v>403</v>
      </c>
      <c r="AF51" s="185"/>
      <c r="AG51" s="185"/>
      <c r="AH51" s="185"/>
      <c r="AI51" s="185"/>
      <c r="AJ51" s="185"/>
      <c r="AK51" s="120">
        <f>AJ51*'BU FACILITIES'!$G$21</f>
        <v>0</v>
      </c>
      <c r="AL51" s="188">
        <v>0</v>
      </c>
      <c r="AM51" s="121">
        <f>PRODUCT( AL51,'BU FACILITIES'!$G$22)</f>
        <v>0</v>
      </c>
      <c r="AN51" s="185"/>
      <c r="AO51" s="185"/>
      <c r="AP51" s="125" t="str">
        <f>IF(AO51=1,'BU FACILITIES'!$G$23,"")</f>
        <v/>
      </c>
      <c r="AQ51" s="185"/>
      <c r="AR51" s="185"/>
      <c r="AS51" s="185"/>
      <c r="AT51" s="185"/>
      <c r="AU51" s="185"/>
      <c r="AV51" s="185"/>
      <c r="AW51" s="185"/>
      <c r="AX51" s="185"/>
      <c r="AY51" s="185"/>
      <c r="AZ51" s="185"/>
      <c r="BA51" s="185"/>
      <c r="BB51" s="185"/>
      <c r="BC51" s="185"/>
      <c r="BD51" s="185"/>
    </row>
    <row r="52" spans="1:56" x14ac:dyDescent="0.25">
      <c r="A52" s="99" t="s">
        <v>241</v>
      </c>
      <c r="B52" s="114" t="s">
        <v>242</v>
      </c>
      <c r="C52" s="114" t="s">
        <v>243</v>
      </c>
      <c r="D52" s="104" t="s">
        <v>352</v>
      </c>
      <c r="E52" s="114" t="s">
        <v>245</v>
      </c>
      <c r="F52" s="114">
        <v>2023</v>
      </c>
      <c r="G52" s="115" t="s">
        <v>339</v>
      </c>
      <c r="H52" s="116" t="s">
        <v>340</v>
      </c>
      <c r="I52" s="116" t="s">
        <v>31</v>
      </c>
      <c r="J52" s="117" t="s">
        <v>246</v>
      </c>
      <c r="K52" s="117">
        <v>0</v>
      </c>
      <c r="L52" s="117">
        <v>0</v>
      </c>
      <c r="M52" s="117">
        <v>400</v>
      </c>
      <c r="N52" s="133">
        <v>600</v>
      </c>
      <c r="O52" s="117" t="s">
        <v>31</v>
      </c>
      <c r="P52" s="23">
        <f t="shared" si="2"/>
        <v>1200</v>
      </c>
      <c r="Q52" s="217">
        <f t="shared" si="3"/>
        <v>0.5</v>
      </c>
      <c r="R52" s="126" t="e">
        <f>VLOOKUP(G52,#REF!,11,0)*Q52</f>
        <v>#REF!</v>
      </c>
      <c r="S52" s="117" t="s">
        <v>247</v>
      </c>
      <c r="T52" s="99" t="s">
        <v>248</v>
      </c>
      <c r="U52" s="100" t="s">
        <v>31</v>
      </c>
      <c r="V52" s="118" t="s">
        <v>31</v>
      </c>
      <c r="W52" s="99" t="s">
        <v>31</v>
      </c>
      <c r="X52" s="114" t="s">
        <v>31</v>
      </c>
      <c r="Y52" s="118" t="s">
        <v>31</v>
      </c>
      <c r="Z52" s="99" t="s">
        <v>31</v>
      </c>
      <c r="AA52" s="100" t="s">
        <v>31</v>
      </c>
      <c r="AB52" s="119" t="s">
        <v>320</v>
      </c>
      <c r="AC52" s="185" t="s">
        <v>451</v>
      </c>
      <c r="AD52" s="185"/>
      <c r="AE52" s="185" t="s">
        <v>403</v>
      </c>
      <c r="AF52" s="185"/>
      <c r="AG52" s="185"/>
      <c r="AH52" s="185"/>
      <c r="AI52" s="185"/>
      <c r="AJ52" s="185"/>
      <c r="AK52" s="120">
        <f>AJ52*'BU FACILITIES'!$G$21</f>
        <v>0</v>
      </c>
      <c r="AL52" s="188">
        <v>0</v>
      </c>
      <c r="AM52" s="121">
        <f>PRODUCT( AL52,'BU FACILITIES'!$G$22)</f>
        <v>0</v>
      </c>
      <c r="AN52" s="185"/>
      <c r="AO52" s="185"/>
      <c r="AP52" s="125" t="str">
        <f>IF(AO52=1,'BU FACILITIES'!$G$23,"")</f>
        <v/>
      </c>
      <c r="AQ52" s="185"/>
      <c r="AR52" s="185"/>
      <c r="AS52" s="185"/>
      <c r="AT52" s="185"/>
      <c r="AU52" s="185"/>
      <c r="AV52" s="185"/>
      <c r="AW52" s="185"/>
      <c r="AX52" s="185"/>
      <c r="AY52" s="185"/>
      <c r="AZ52" s="185"/>
      <c r="BA52" s="185"/>
      <c r="BB52" s="185"/>
      <c r="BC52" s="185"/>
      <c r="BD52" s="185"/>
    </row>
  </sheetData>
  <autoFilter ref="A1:AE27" xr:uid="{78209273-5FD2-4AE6-B359-294350FD1669}">
    <filterColumn colId="6">
      <filters>
        <filter val="Centro Ejecutivo"/>
        <filter val="Quinta Camacho"/>
      </filters>
    </filterColumn>
    <filterColumn colId="7">
      <filters>
        <filter val="Cúcuta"/>
      </filters>
    </filterColumn>
  </autoFilter>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BF0DE-5931-4BD4-AEE2-243FADF8FF81}">
  <dimension ref="A1:BF172"/>
  <sheetViews>
    <sheetView topLeftCell="A33" workbookViewId="0">
      <selection activeCell="A46" sqref="A46"/>
    </sheetView>
  </sheetViews>
  <sheetFormatPr baseColWidth="10" defaultColWidth="9.140625" defaultRowHeight="15" x14ac:dyDescent="0.25"/>
  <cols>
    <col min="37" max="37" width="13.42578125" customWidth="1"/>
    <col min="42" max="42" width="12.85546875" customWidth="1"/>
    <col min="45" max="45" width="12" customWidth="1"/>
    <col min="48" max="48" width="13.42578125" customWidth="1"/>
  </cols>
  <sheetData>
    <row r="1" spans="1:57" ht="89.25" x14ac:dyDescent="0.25">
      <c r="A1" s="180" t="s">
        <v>0</v>
      </c>
      <c r="B1" s="180" t="s">
        <v>1</v>
      </c>
      <c r="C1" s="180" t="s">
        <v>2</v>
      </c>
      <c r="D1" s="180" t="s">
        <v>3</v>
      </c>
      <c r="E1" s="180" t="s">
        <v>4</v>
      </c>
      <c r="F1" s="180" t="s">
        <v>5</v>
      </c>
      <c r="G1" s="180" t="s">
        <v>6</v>
      </c>
      <c r="H1" s="180" t="s">
        <v>7</v>
      </c>
      <c r="I1" s="181" t="s">
        <v>8</v>
      </c>
      <c r="J1" s="180" t="s">
        <v>9</v>
      </c>
      <c r="K1" s="180" t="s">
        <v>10</v>
      </c>
      <c r="L1" s="180" t="s">
        <v>11</v>
      </c>
      <c r="M1" s="180" t="s">
        <v>12</v>
      </c>
      <c r="N1" s="182" t="s">
        <v>13</v>
      </c>
      <c r="O1" s="183" t="s">
        <v>177</v>
      </c>
      <c r="P1" s="183" t="s">
        <v>370</v>
      </c>
      <c r="Q1" s="220" t="s">
        <v>371</v>
      </c>
      <c r="R1" s="183" t="s">
        <v>372</v>
      </c>
      <c r="S1" s="180" t="s">
        <v>15</v>
      </c>
      <c r="T1" s="180" t="s">
        <v>16</v>
      </c>
      <c r="U1" s="180" t="s">
        <v>17</v>
      </c>
      <c r="V1" s="180" t="s">
        <v>18</v>
      </c>
      <c r="W1" s="180" t="s">
        <v>19</v>
      </c>
      <c r="X1" s="180" t="s">
        <v>15</v>
      </c>
      <c r="Y1" s="180" t="s">
        <v>20</v>
      </c>
      <c r="Z1" s="181" t="s">
        <v>21</v>
      </c>
      <c r="AA1" s="181" t="s">
        <v>178</v>
      </c>
      <c r="AB1" s="180" t="s">
        <v>179</v>
      </c>
      <c r="AC1" s="184" t="s">
        <v>373</v>
      </c>
      <c r="AD1" s="184" t="s">
        <v>432</v>
      </c>
      <c r="AE1" s="184" t="s">
        <v>375</v>
      </c>
      <c r="AF1" s="184" t="s">
        <v>376</v>
      </c>
      <c r="AG1" s="191" t="s">
        <v>377</v>
      </c>
      <c r="AH1" s="192" t="s">
        <v>378</v>
      </c>
      <c r="AI1" s="184" t="s">
        <v>379</v>
      </c>
      <c r="AJ1" s="191" t="s">
        <v>380</v>
      </c>
      <c r="AK1" s="193" t="s">
        <v>381</v>
      </c>
      <c r="AL1" s="191" t="s">
        <v>382</v>
      </c>
      <c r="AM1" s="194" t="s">
        <v>383</v>
      </c>
      <c r="AN1" s="184" t="s">
        <v>384</v>
      </c>
      <c r="AO1" s="191" t="s">
        <v>385</v>
      </c>
      <c r="AP1" s="192" t="s">
        <v>386</v>
      </c>
      <c r="AQ1" s="184" t="s">
        <v>387</v>
      </c>
      <c r="AR1" s="184" t="s">
        <v>388</v>
      </c>
      <c r="AS1" s="192" t="s">
        <v>389</v>
      </c>
      <c r="AT1" s="184" t="s">
        <v>390</v>
      </c>
      <c r="AU1" s="184" t="s">
        <v>391</v>
      </c>
      <c r="AV1" s="194" t="s">
        <v>392</v>
      </c>
      <c r="AW1" s="184" t="s">
        <v>393</v>
      </c>
      <c r="AX1" s="184" t="s">
        <v>394</v>
      </c>
      <c r="AY1" s="194" t="s">
        <v>395</v>
      </c>
      <c r="AZ1" s="97" t="s">
        <v>396</v>
      </c>
      <c r="BA1" s="97" t="s">
        <v>397</v>
      </c>
      <c r="BB1" s="192" t="s">
        <v>398</v>
      </c>
      <c r="BC1" s="191" t="s">
        <v>399</v>
      </c>
      <c r="BD1" s="194" t="s">
        <v>400</v>
      </c>
      <c r="BE1" s="95" t="s">
        <v>401</v>
      </c>
    </row>
    <row r="2" spans="1:57" x14ac:dyDescent="0.25">
      <c r="A2" s="46" t="s">
        <v>24</v>
      </c>
      <c r="B2" s="46" t="s">
        <v>25</v>
      </c>
      <c r="C2" s="46" t="s">
        <v>26</v>
      </c>
      <c r="D2" s="46" t="s">
        <v>91</v>
      </c>
      <c r="E2" s="46" t="s">
        <v>28</v>
      </c>
      <c r="F2" s="46">
        <v>2023</v>
      </c>
      <c r="G2" s="21" t="s">
        <v>455</v>
      </c>
      <c r="H2" s="21" t="s">
        <v>456</v>
      </c>
      <c r="I2" s="21" t="s">
        <v>457</v>
      </c>
      <c r="J2" s="46" t="s">
        <v>32</v>
      </c>
      <c r="K2" s="21">
        <v>2</v>
      </c>
      <c r="L2" s="21">
        <v>1</v>
      </c>
      <c r="M2" s="21">
        <v>842</v>
      </c>
      <c r="N2" s="127">
        <v>0</v>
      </c>
      <c r="O2" s="21" t="s">
        <v>31</v>
      </c>
      <c r="P2" s="23">
        <v>0</v>
      </c>
      <c r="Q2" s="217" t="s">
        <v>458</v>
      </c>
      <c r="R2" s="126">
        <v>0</v>
      </c>
      <c r="S2" s="46" t="s">
        <v>33</v>
      </c>
      <c r="T2" s="46" t="s">
        <v>31</v>
      </c>
      <c r="U2" s="46">
        <v>2</v>
      </c>
      <c r="V2" s="21">
        <v>0</v>
      </c>
      <c r="W2" s="21">
        <v>0</v>
      </c>
      <c r="X2" s="46" t="s">
        <v>33</v>
      </c>
      <c r="Y2" s="21">
        <v>3</v>
      </c>
      <c r="Z2" s="21" t="s">
        <v>34</v>
      </c>
      <c r="AA2" s="21" t="s">
        <v>31</v>
      </c>
      <c r="AB2" s="46" t="s">
        <v>434</v>
      </c>
      <c r="AC2" s="94" t="s">
        <v>459</v>
      </c>
      <c r="AD2" s="94"/>
      <c r="AE2" s="94" t="s">
        <v>460</v>
      </c>
      <c r="AF2" s="94"/>
      <c r="AG2" s="94"/>
      <c r="AH2" s="123" t="s">
        <v>461</v>
      </c>
      <c r="AI2" s="94" t="s">
        <v>454</v>
      </c>
      <c r="AJ2" s="96">
        <v>1</v>
      </c>
      <c r="AK2" s="120">
        <v>1714.6341463414635</v>
      </c>
      <c r="AL2" s="96">
        <v>1</v>
      </c>
      <c r="AM2" s="121">
        <v>870.73170731707319</v>
      </c>
      <c r="AN2" s="94"/>
      <c r="AO2" s="94"/>
      <c r="AP2" s="123" t="s">
        <v>461</v>
      </c>
      <c r="AQ2" s="94"/>
      <c r="AR2" s="94"/>
      <c r="AS2" s="122" t="s">
        <v>461</v>
      </c>
      <c r="AT2" s="94">
        <v>1</v>
      </c>
      <c r="AU2" s="94">
        <v>2000</v>
      </c>
      <c r="AV2" s="122">
        <v>21452.006341463417</v>
      </c>
      <c r="AW2" s="94"/>
      <c r="AX2" s="94"/>
      <c r="AY2" s="122" t="s">
        <v>461</v>
      </c>
      <c r="AZ2" s="94"/>
      <c r="BA2" s="94"/>
      <c r="BB2" s="187" t="s">
        <v>461</v>
      </c>
      <c r="BC2" s="187"/>
      <c r="BD2" s="195" t="s">
        <v>461</v>
      </c>
      <c r="BE2" s="3"/>
    </row>
    <row r="3" spans="1:57" x14ac:dyDescent="0.25">
      <c r="A3" s="46" t="s">
        <v>24</v>
      </c>
      <c r="B3" s="46" t="s">
        <v>25</v>
      </c>
      <c r="C3" s="46" t="s">
        <v>26</v>
      </c>
      <c r="D3" s="46" t="s">
        <v>91</v>
      </c>
      <c r="E3" s="46" t="s">
        <v>28</v>
      </c>
      <c r="F3" s="46">
        <v>2023</v>
      </c>
      <c r="G3" s="21" t="s">
        <v>462</v>
      </c>
      <c r="H3" s="21" t="s">
        <v>35</v>
      </c>
      <c r="I3" s="23" t="s">
        <v>457</v>
      </c>
      <c r="J3" s="46" t="s">
        <v>32</v>
      </c>
      <c r="K3" s="21">
        <v>2</v>
      </c>
      <c r="L3" s="21">
        <v>1</v>
      </c>
      <c r="M3" s="21">
        <v>842</v>
      </c>
      <c r="N3" s="127">
        <v>0</v>
      </c>
      <c r="O3" s="21" t="s">
        <v>31</v>
      </c>
      <c r="P3" s="23">
        <v>0</v>
      </c>
      <c r="Q3" s="217" t="s">
        <v>458</v>
      </c>
      <c r="R3" s="126">
        <v>0</v>
      </c>
      <c r="S3" s="46" t="s">
        <v>33</v>
      </c>
      <c r="T3" s="46" t="s">
        <v>31</v>
      </c>
      <c r="U3" s="46">
        <v>2</v>
      </c>
      <c r="V3" s="21">
        <v>0</v>
      </c>
      <c r="W3" s="21">
        <v>0</v>
      </c>
      <c r="X3" s="46" t="s">
        <v>33</v>
      </c>
      <c r="Y3" s="21">
        <v>3</v>
      </c>
      <c r="Z3" s="21" t="s">
        <v>34</v>
      </c>
      <c r="AA3" s="21" t="s">
        <v>31</v>
      </c>
      <c r="AB3" s="46" t="s">
        <v>434</v>
      </c>
      <c r="AC3" s="187" t="s">
        <v>463</v>
      </c>
      <c r="AD3" s="187"/>
      <c r="AE3" s="187" t="s">
        <v>460</v>
      </c>
      <c r="AF3" s="187"/>
      <c r="AG3" s="187"/>
      <c r="AH3" s="123" t="s">
        <v>461</v>
      </c>
      <c r="AI3" s="187" t="s">
        <v>454</v>
      </c>
      <c r="AJ3" s="196">
        <v>1</v>
      </c>
      <c r="AK3" s="120">
        <v>1714.6341463414635</v>
      </c>
      <c r="AL3" s="196">
        <v>1</v>
      </c>
      <c r="AM3" s="121">
        <v>870.73170731707319</v>
      </c>
      <c r="AN3" s="187"/>
      <c r="AO3" s="187"/>
      <c r="AP3" s="125" t="s">
        <v>461</v>
      </c>
      <c r="AQ3" s="187"/>
      <c r="AR3" s="187"/>
      <c r="AS3" s="122" t="s">
        <v>461</v>
      </c>
      <c r="AT3" s="187">
        <v>1</v>
      </c>
      <c r="AU3" s="187">
        <v>1000</v>
      </c>
      <c r="AV3" s="122">
        <v>12831.910444027517</v>
      </c>
      <c r="AW3" s="187"/>
      <c r="AX3" s="187"/>
      <c r="AY3" s="122" t="s">
        <v>461</v>
      </c>
      <c r="AZ3" s="187"/>
      <c r="BA3" s="187"/>
      <c r="BB3" s="187" t="s">
        <v>461</v>
      </c>
      <c r="BC3" s="187"/>
      <c r="BD3" s="195" t="s">
        <v>461</v>
      </c>
      <c r="BE3" s="3"/>
    </row>
    <row r="4" spans="1:57" x14ac:dyDescent="0.25">
      <c r="A4" s="46" t="s">
        <v>24</v>
      </c>
      <c r="B4" s="46" t="s">
        <v>25</v>
      </c>
      <c r="C4" s="46" t="s">
        <v>26</v>
      </c>
      <c r="D4" s="46" t="s">
        <v>91</v>
      </c>
      <c r="E4" s="46" t="s">
        <v>28</v>
      </c>
      <c r="F4" s="46">
        <v>2023</v>
      </c>
      <c r="G4" s="21" t="s">
        <v>464</v>
      </c>
      <c r="H4" s="21" t="s">
        <v>36</v>
      </c>
      <c r="I4" s="21" t="s">
        <v>457</v>
      </c>
      <c r="J4" s="46" t="s">
        <v>32</v>
      </c>
      <c r="K4" s="21">
        <v>2</v>
      </c>
      <c r="L4" s="21">
        <v>1</v>
      </c>
      <c r="M4" s="21">
        <v>842</v>
      </c>
      <c r="N4" s="137">
        <v>0</v>
      </c>
      <c r="O4" s="21" t="s">
        <v>31</v>
      </c>
      <c r="P4" s="23">
        <v>0</v>
      </c>
      <c r="Q4" s="217" t="s">
        <v>458</v>
      </c>
      <c r="R4" s="126">
        <v>0</v>
      </c>
      <c r="S4" s="46" t="s">
        <v>33</v>
      </c>
      <c r="T4" s="46" t="s">
        <v>31</v>
      </c>
      <c r="U4" s="46">
        <v>2</v>
      </c>
      <c r="V4" s="21">
        <v>0</v>
      </c>
      <c r="W4" s="21">
        <v>0</v>
      </c>
      <c r="X4" s="46" t="s">
        <v>33</v>
      </c>
      <c r="Y4" s="21">
        <v>3</v>
      </c>
      <c r="Z4" s="21" t="s">
        <v>34</v>
      </c>
      <c r="AA4" s="21" t="s">
        <v>31</v>
      </c>
      <c r="AB4" s="46" t="s">
        <v>434</v>
      </c>
      <c r="AC4" s="197" t="s">
        <v>465</v>
      </c>
      <c r="AD4" s="187"/>
      <c r="AE4" s="187" t="s">
        <v>460</v>
      </c>
      <c r="AF4" s="187"/>
      <c r="AG4" s="187"/>
      <c r="AH4" s="123" t="s">
        <v>461</v>
      </c>
      <c r="AI4" s="187" t="s">
        <v>454</v>
      </c>
      <c r="AJ4" s="196">
        <v>1</v>
      </c>
      <c r="AK4" s="120">
        <v>1714.6341463414635</v>
      </c>
      <c r="AL4" s="196">
        <v>1</v>
      </c>
      <c r="AM4" s="121">
        <v>870.73170731707319</v>
      </c>
      <c r="AN4" s="187"/>
      <c r="AO4" s="187"/>
      <c r="AP4" s="125" t="s">
        <v>461</v>
      </c>
      <c r="AQ4" s="187"/>
      <c r="AR4" s="187"/>
      <c r="AS4" s="122" t="s">
        <v>461</v>
      </c>
      <c r="AT4" s="187">
        <v>1</v>
      </c>
      <c r="AU4" s="187">
        <v>1000</v>
      </c>
      <c r="AV4" s="122">
        <v>12831.910444027517</v>
      </c>
      <c r="AW4" s="187"/>
      <c r="AX4" s="187"/>
      <c r="AY4" s="122" t="s">
        <v>461</v>
      </c>
      <c r="AZ4" s="187"/>
      <c r="BA4" s="187"/>
      <c r="BB4" s="187" t="s">
        <v>461</v>
      </c>
      <c r="BC4" s="187"/>
      <c r="BD4" s="195" t="s">
        <v>461</v>
      </c>
      <c r="BE4" s="3"/>
    </row>
    <row r="5" spans="1:57" x14ac:dyDescent="0.25">
      <c r="A5" s="46" t="s">
        <v>24</v>
      </c>
      <c r="B5" s="46" t="s">
        <v>25</v>
      </c>
      <c r="C5" s="46" t="s">
        <v>26</v>
      </c>
      <c r="D5" s="46" t="s">
        <v>91</v>
      </c>
      <c r="E5" s="46" t="s">
        <v>28</v>
      </c>
      <c r="F5" s="46">
        <v>2023</v>
      </c>
      <c r="G5" s="149" t="s">
        <v>42</v>
      </c>
      <c r="H5" s="21" t="s">
        <v>66</v>
      </c>
      <c r="I5" s="21" t="s">
        <v>457</v>
      </c>
      <c r="J5" s="46" t="s">
        <v>32</v>
      </c>
      <c r="K5" s="21">
        <v>2</v>
      </c>
      <c r="L5" s="21">
        <v>1</v>
      </c>
      <c r="M5" s="21">
        <v>842</v>
      </c>
      <c r="N5" s="127">
        <v>0</v>
      </c>
      <c r="O5" s="21" t="s">
        <v>31</v>
      </c>
      <c r="P5" s="23">
        <v>0</v>
      </c>
      <c r="Q5" s="217" t="s">
        <v>458</v>
      </c>
      <c r="R5" s="126">
        <v>0</v>
      </c>
      <c r="S5" s="46" t="s">
        <v>33</v>
      </c>
      <c r="T5" s="46" t="s">
        <v>31</v>
      </c>
      <c r="U5" s="46">
        <v>2</v>
      </c>
      <c r="V5" s="21">
        <v>0</v>
      </c>
      <c r="W5" s="21">
        <v>0</v>
      </c>
      <c r="X5" s="46" t="s">
        <v>33</v>
      </c>
      <c r="Y5" s="21">
        <v>3</v>
      </c>
      <c r="Z5" s="21" t="s">
        <v>39</v>
      </c>
      <c r="AA5" s="21" t="s">
        <v>31</v>
      </c>
      <c r="AB5" s="46" t="s">
        <v>31</v>
      </c>
      <c r="AC5" s="187" t="s">
        <v>466</v>
      </c>
      <c r="AD5" s="187">
        <v>4</v>
      </c>
      <c r="AE5" s="187" t="s">
        <v>460</v>
      </c>
      <c r="AF5" s="187" t="s">
        <v>467</v>
      </c>
      <c r="AG5" s="187">
        <v>1</v>
      </c>
      <c r="AH5" s="123">
        <v>9756.0975609756097</v>
      </c>
      <c r="AI5" s="187" t="s">
        <v>454</v>
      </c>
      <c r="AJ5" s="196">
        <v>1</v>
      </c>
      <c r="AK5" s="120">
        <v>1714.6341463414635</v>
      </c>
      <c r="AL5" s="196">
        <v>1</v>
      </c>
      <c r="AM5" s="121">
        <v>870.73170731707319</v>
      </c>
      <c r="AN5" s="187" t="s">
        <v>468</v>
      </c>
      <c r="AO5" s="187">
        <v>1</v>
      </c>
      <c r="AP5" s="125">
        <v>24390.243902439026</v>
      </c>
      <c r="AQ5" s="187">
        <v>1</v>
      </c>
      <c r="AR5" s="187">
        <v>1000</v>
      </c>
      <c r="AS5" s="123">
        <v>18582.487804878048</v>
      </c>
      <c r="AT5" s="187">
        <v>2</v>
      </c>
      <c r="AU5" s="187">
        <v>1500</v>
      </c>
      <c r="AV5" s="122">
        <v>42904.012682926834</v>
      </c>
      <c r="AW5" s="187"/>
      <c r="AX5" s="187"/>
      <c r="AY5" s="122" t="s">
        <v>461</v>
      </c>
      <c r="AZ5" s="187" t="s">
        <v>469</v>
      </c>
      <c r="BA5" s="187"/>
      <c r="BB5" s="187" t="s">
        <v>461</v>
      </c>
      <c r="BC5" s="187">
        <v>1</v>
      </c>
      <c r="BD5" s="195">
        <v>9756.0975609756097</v>
      </c>
      <c r="BE5" s="77"/>
    </row>
    <row r="6" spans="1:57" x14ac:dyDescent="0.25">
      <c r="A6" s="46" t="s">
        <v>24</v>
      </c>
      <c r="B6" s="46" t="s">
        <v>25</v>
      </c>
      <c r="C6" s="46" t="s">
        <v>26</v>
      </c>
      <c r="D6" s="46" t="s">
        <v>91</v>
      </c>
      <c r="E6" s="46" t="s">
        <v>28</v>
      </c>
      <c r="F6" s="46">
        <v>2023</v>
      </c>
      <c r="G6" s="149" t="s">
        <v>67</v>
      </c>
      <c r="H6" s="21" t="s">
        <v>113</v>
      </c>
      <c r="I6" s="21" t="s">
        <v>457</v>
      </c>
      <c r="J6" s="46" t="s">
        <v>32</v>
      </c>
      <c r="K6" s="21">
        <v>2</v>
      </c>
      <c r="L6" s="21">
        <v>1</v>
      </c>
      <c r="M6" s="21">
        <v>842</v>
      </c>
      <c r="N6" s="127">
        <v>0</v>
      </c>
      <c r="O6" s="21" t="s">
        <v>31</v>
      </c>
      <c r="P6" s="23">
        <v>0</v>
      </c>
      <c r="Q6" s="217" t="s">
        <v>458</v>
      </c>
      <c r="R6" s="126">
        <v>0</v>
      </c>
      <c r="S6" s="46" t="s">
        <v>33</v>
      </c>
      <c r="T6" s="46" t="s">
        <v>31</v>
      </c>
      <c r="U6" s="46">
        <v>2</v>
      </c>
      <c r="V6" s="21">
        <v>0</v>
      </c>
      <c r="W6" s="21">
        <v>0</v>
      </c>
      <c r="X6" s="46" t="s">
        <v>33</v>
      </c>
      <c r="Y6" s="21">
        <v>3</v>
      </c>
      <c r="Z6" s="21" t="s">
        <v>39</v>
      </c>
      <c r="AA6" s="21" t="s">
        <v>31</v>
      </c>
      <c r="AB6" s="46" t="s">
        <v>31</v>
      </c>
      <c r="AC6" s="187" t="s">
        <v>470</v>
      </c>
      <c r="AD6" s="187">
        <v>4</v>
      </c>
      <c r="AE6" s="187" t="s">
        <v>460</v>
      </c>
      <c r="AF6" s="187"/>
      <c r="AG6" s="187"/>
      <c r="AH6" s="123" t="s">
        <v>461</v>
      </c>
      <c r="AI6" s="187"/>
      <c r="AJ6" s="196"/>
      <c r="AK6" s="120">
        <v>0</v>
      </c>
      <c r="AL6" s="196">
        <v>1</v>
      </c>
      <c r="AM6" s="121">
        <v>870.73170731707319</v>
      </c>
      <c r="AN6" s="187"/>
      <c r="AO6" s="187"/>
      <c r="AP6" s="125" t="s">
        <v>461</v>
      </c>
      <c r="AQ6" s="187">
        <v>0.2</v>
      </c>
      <c r="AR6" s="187">
        <v>1000</v>
      </c>
      <c r="AS6" s="123">
        <v>3716.4975609756098</v>
      </c>
      <c r="AT6" s="187">
        <v>2</v>
      </c>
      <c r="AU6" s="187">
        <v>1500</v>
      </c>
      <c r="AV6" s="122">
        <v>42904.012682926834</v>
      </c>
      <c r="AW6" s="187"/>
      <c r="AX6" s="187"/>
      <c r="AY6" s="122" t="s">
        <v>461</v>
      </c>
      <c r="AZ6" s="187" t="s">
        <v>469</v>
      </c>
      <c r="BA6" s="187"/>
      <c r="BB6" s="187" t="s">
        <v>461</v>
      </c>
      <c r="BC6" s="187">
        <v>1</v>
      </c>
      <c r="BD6" s="195">
        <v>9756.0975609756097</v>
      </c>
      <c r="BE6" s="77"/>
    </row>
    <row r="7" spans="1:57" x14ac:dyDescent="0.25">
      <c r="A7" s="46" t="s">
        <v>24</v>
      </c>
      <c r="B7" s="46" t="s">
        <v>25</v>
      </c>
      <c r="C7" s="46" t="s">
        <v>26</v>
      </c>
      <c r="D7" s="46" t="s">
        <v>91</v>
      </c>
      <c r="E7" s="46" t="s">
        <v>28</v>
      </c>
      <c r="F7" s="46">
        <v>2023</v>
      </c>
      <c r="G7" s="21" t="s">
        <v>74</v>
      </c>
      <c r="H7" s="25" t="s">
        <v>75</v>
      </c>
      <c r="I7" s="21" t="s">
        <v>31</v>
      </c>
      <c r="J7" s="46" t="s">
        <v>32</v>
      </c>
      <c r="K7" s="25">
        <v>2</v>
      </c>
      <c r="L7" s="25">
        <v>1</v>
      </c>
      <c r="M7" s="25">
        <v>842</v>
      </c>
      <c r="N7" s="128">
        <v>0</v>
      </c>
      <c r="O7" s="25" t="s">
        <v>31</v>
      </c>
      <c r="P7" s="23">
        <v>0</v>
      </c>
      <c r="Q7" s="217" t="s">
        <v>458</v>
      </c>
      <c r="R7" s="126">
        <v>0</v>
      </c>
      <c r="S7" s="46" t="s">
        <v>33</v>
      </c>
      <c r="T7" s="46" t="s">
        <v>31</v>
      </c>
      <c r="U7" s="46">
        <v>2</v>
      </c>
      <c r="V7" s="21">
        <v>0</v>
      </c>
      <c r="W7" s="21">
        <v>0</v>
      </c>
      <c r="X7" s="46" t="s">
        <v>33</v>
      </c>
      <c r="Y7" s="21">
        <v>3</v>
      </c>
      <c r="Z7" s="21" t="s">
        <v>55</v>
      </c>
      <c r="AA7" s="21" t="s">
        <v>31</v>
      </c>
      <c r="AB7" s="46" t="s">
        <v>434</v>
      </c>
      <c r="AC7" s="187" t="s">
        <v>471</v>
      </c>
      <c r="AD7" s="187" t="s">
        <v>437</v>
      </c>
      <c r="AE7" s="187" t="s">
        <v>460</v>
      </c>
      <c r="AF7" s="187"/>
      <c r="AG7" s="187"/>
      <c r="AH7" s="123" t="s">
        <v>461</v>
      </c>
      <c r="AI7" s="187" t="s">
        <v>407</v>
      </c>
      <c r="AJ7" s="196">
        <v>1</v>
      </c>
      <c r="AK7" s="120">
        <v>1714.6341463414635</v>
      </c>
      <c r="AL7" s="196">
        <v>1</v>
      </c>
      <c r="AM7" s="121">
        <v>870.73170731707319</v>
      </c>
      <c r="AN7" s="187" t="s">
        <v>407</v>
      </c>
      <c r="AO7" s="187">
        <v>1</v>
      </c>
      <c r="AP7" s="125">
        <v>24390.243902439026</v>
      </c>
      <c r="AQ7" s="187"/>
      <c r="AR7" s="187"/>
      <c r="AS7" s="122" t="s">
        <v>461</v>
      </c>
      <c r="AT7" s="187">
        <v>1</v>
      </c>
      <c r="AU7" s="187">
        <v>500</v>
      </c>
      <c r="AV7" s="122">
        <v>9151.2950594121339</v>
      </c>
      <c r="AW7" s="187"/>
      <c r="AX7" s="187"/>
      <c r="AY7" s="122" t="s">
        <v>461</v>
      </c>
      <c r="AZ7" s="187">
        <v>1</v>
      </c>
      <c r="BA7" s="187">
        <v>3</v>
      </c>
      <c r="BB7" s="221">
        <v>13526.829268292684</v>
      </c>
      <c r="BC7" s="187"/>
      <c r="BD7" s="195" t="s">
        <v>461</v>
      </c>
      <c r="BE7" s="77"/>
    </row>
    <row r="8" spans="1:57" x14ac:dyDescent="0.25">
      <c r="A8" s="37" t="s">
        <v>90</v>
      </c>
      <c r="B8" s="38" t="s">
        <v>25</v>
      </c>
      <c r="C8" s="38" t="s">
        <v>26</v>
      </c>
      <c r="D8" s="38" t="s">
        <v>91</v>
      </c>
      <c r="E8" s="38" t="s">
        <v>92</v>
      </c>
      <c r="F8" s="38">
        <v>2023</v>
      </c>
      <c r="G8" s="23" t="s">
        <v>104</v>
      </c>
      <c r="H8" s="83" t="s">
        <v>57</v>
      </c>
      <c r="I8" s="23" t="s">
        <v>31</v>
      </c>
      <c r="J8" s="39" t="s">
        <v>32</v>
      </c>
      <c r="K8" s="83">
        <v>1</v>
      </c>
      <c r="L8" s="83">
        <v>6</v>
      </c>
      <c r="M8" s="23">
        <v>475</v>
      </c>
      <c r="N8" s="146">
        <v>0</v>
      </c>
      <c r="O8" s="23" t="s">
        <v>31</v>
      </c>
      <c r="P8" s="23">
        <v>0</v>
      </c>
      <c r="Q8" s="217" t="s">
        <v>458</v>
      </c>
      <c r="R8" s="126">
        <v>0</v>
      </c>
      <c r="S8" s="38" t="s">
        <v>33</v>
      </c>
      <c r="T8" s="38">
        <v>1620.75</v>
      </c>
      <c r="U8" s="38">
        <v>2</v>
      </c>
      <c r="V8" s="83" t="s">
        <v>31</v>
      </c>
      <c r="W8" s="83" t="s">
        <v>31</v>
      </c>
      <c r="X8" s="37" t="s">
        <v>93</v>
      </c>
      <c r="Y8" s="38">
        <v>1.5</v>
      </c>
      <c r="Z8" s="88" t="s">
        <v>94</v>
      </c>
      <c r="AA8" s="91" t="s">
        <v>31</v>
      </c>
      <c r="AB8" s="49" t="s">
        <v>95</v>
      </c>
      <c r="AC8" s="187" t="s">
        <v>472</v>
      </c>
      <c r="AD8" s="187" t="s">
        <v>473</v>
      </c>
      <c r="AE8" s="187" t="s">
        <v>402</v>
      </c>
      <c r="AF8" s="187"/>
      <c r="AG8" s="187"/>
      <c r="AH8" s="123" t="s">
        <v>461</v>
      </c>
      <c r="AI8" s="187"/>
      <c r="AJ8" s="196"/>
      <c r="AK8" s="120">
        <v>0</v>
      </c>
      <c r="AL8" s="196">
        <v>1</v>
      </c>
      <c r="AM8" s="121">
        <v>870.73170731707319</v>
      </c>
      <c r="AN8" s="187"/>
      <c r="AO8" s="187"/>
      <c r="AP8" s="125" t="s">
        <v>461</v>
      </c>
      <c r="AQ8" s="187"/>
      <c r="AR8" s="187"/>
      <c r="AS8" s="122" t="s">
        <v>461</v>
      </c>
      <c r="AT8" s="187">
        <v>2</v>
      </c>
      <c r="AU8" s="187">
        <v>1400</v>
      </c>
      <c r="AV8" s="122">
        <v>46883.292682926833</v>
      </c>
      <c r="AW8" s="187"/>
      <c r="AX8" s="187"/>
      <c r="AY8" s="122" t="s">
        <v>461</v>
      </c>
      <c r="AZ8" s="187"/>
      <c r="BA8" s="187"/>
      <c r="BB8" s="187" t="s">
        <v>461</v>
      </c>
      <c r="BC8" s="187"/>
      <c r="BD8" s="195" t="s">
        <v>461</v>
      </c>
      <c r="BE8" s="79"/>
    </row>
    <row r="9" spans="1:57" x14ac:dyDescent="0.25">
      <c r="A9" s="37" t="s">
        <v>90</v>
      </c>
      <c r="B9" s="38" t="s">
        <v>25</v>
      </c>
      <c r="C9" s="38" t="s">
        <v>26</v>
      </c>
      <c r="D9" s="38" t="s">
        <v>91</v>
      </c>
      <c r="E9" s="38" t="s">
        <v>92</v>
      </c>
      <c r="F9" s="38">
        <v>2023</v>
      </c>
      <c r="G9" s="23" t="s">
        <v>474</v>
      </c>
      <c r="H9" s="23" t="s">
        <v>109</v>
      </c>
      <c r="I9" s="81" t="s">
        <v>457</v>
      </c>
      <c r="J9" s="38" t="s">
        <v>32</v>
      </c>
      <c r="K9" s="23">
        <v>1</v>
      </c>
      <c r="L9" s="23">
        <v>6</v>
      </c>
      <c r="M9" s="23">
        <v>475</v>
      </c>
      <c r="N9" s="132">
        <v>0</v>
      </c>
      <c r="O9" s="23" t="s">
        <v>31</v>
      </c>
      <c r="P9" s="23">
        <v>0</v>
      </c>
      <c r="Q9" s="217" t="s">
        <v>458</v>
      </c>
      <c r="R9" s="126">
        <v>0</v>
      </c>
      <c r="S9" s="38" t="s">
        <v>33</v>
      </c>
      <c r="T9" s="38">
        <v>1620.75</v>
      </c>
      <c r="U9" s="38">
        <v>2</v>
      </c>
      <c r="V9" s="23" t="s">
        <v>31</v>
      </c>
      <c r="W9" s="23" t="s">
        <v>31</v>
      </c>
      <c r="X9" s="38" t="s">
        <v>93</v>
      </c>
      <c r="Y9" s="38">
        <v>1.5</v>
      </c>
      <c r="Z9" s="86" t="s">
        <v>94</v>
      </c>
      <c r="AA9" s="89" t="s">
        <v>31</v>
      </c>
      <c r="AB9" s="37" t="s">
        <v>95</v>
      </c>
      <c r="AC9" s="187" t="s">
        <v>475</v>
      </c>
      <c r="AD9" s="187"/>
      <c r="AE9" s="187" t="s">
        <v>460</v>
      </c>
      <c r="AF9" s="187"/>
      <c r="AG9" s="187"/>
      <c r="AH9" s="123" t="s">
        <v>461</v>
      </c>
      <c r="AI9" s="187" t="s">
        <v>454</v>
      </c>
      <c r="AJ9" s="196">
        <v>1</v>
      </c>
      <c r="AK9" s="120">
        <v>1714.6341463414635</v>
      </c>
      <c r="AL9" s="196">
        <v>1</v>
      </c>
      <c r="AM9" s="121">
        <v>870.73170731707319</v>
      </c>
      <c r="AN9" s="187"/>
      <c r="AO9" s="187"/>
      <c r="AP9" s="125" t="s">
        <v>461</v>
      </c>
      <c r="AQ9" s="187"/>
      <c r="AR9" s="187"/>
      <c r="AS9" s="122" t="s">
        <v>461</v>
      </c>
      <c r="AT9" s="187"/>
      <c r="AU9" s="187"/>
      <c r="AV9" s="122" t="s">
        <v>461</v>
      </c>
      <c r="AW9" s="187"/>
      <c r="AX9" s="187"/>
      <c r="AY9" s="122" t="s">
        <v>461</v>
      </c>
      <c r="AZ9" s="187">
        <v>1</v>
      </c>
      <c r="BA9" s="187">
        <v>20</v>
      </c>
      <c r="BB9" s="221">
        <v>22626.829268292684</v>
      </c>
      <c r="BC9" s="187"/>
      <c r="BD9" s="195" t="s">
        <v>461</v>
      </c>
      <c r="BE9" s="3"/>
    </row>
    <row r="10" spans="1:57" x14ac:dyDescent="0.25">
      <c r="A10" s="37" t="s">
        <v>90</v>
      </c>
      <c r="B10" s="38" t="s">
        <v>25</v>
      </c>
      <c r="C10" s="38" t="s">
        <v>26</v>
      </c>
      <c r="D10" s="38" t="s">
        <v>91</v>
      </c>
      <c r="E10" s="38" t="s">
        <v>92</v>
      </c>
      <c r="F10" s="38">
        <v>2023</v>
      </c>
      <c r="G10" s="21" t="s">
        <v>464</v>
      </c>
      <c r="H10" s="23" t="s">
        <v>36</v>
      </c>
      <c r="I10" s="80" t="s">
        <v>457</v>
      </c>
      <c r="J10" s="38" t="s">
        <v>32</v>
      </c>
      <c r="K10" s="23">
        <v>1</v>
      </c>
      <c r="L10" s="23">
        <v>6</v>
      </c>
      <c r="M10" s="23">
        <v>475</v>
      </c>
      <c r="N10" s="134">
        <v>0</v>
      </c>
      <c r="O10" s="23" t="s">
        <v>31</v>
      </c>
      <c r="P10" s="23">
        <v>0</v>
      </c>
      <c r="Q10" s="217" t="s">
        <v>458</v>
      </c>
      <c r="R10" s="126">
        <v>0</v>
      </c>
      <c r="S10" s="38" t="s">
        <v>33</v>
      </c>
      <c r="T10" s="38">
        <v>1620.75</v>
      </c>
      <c r="U10" s="38">
        <v>2</v>
      </c>
      <c r="V10" s="23" t="s">
        <v>31</v>
      </c>
      <c r="W10" s="23" t="s">
        <v>31</v>
      </c>
      <c r="X10" s="38" t="s">
        <v>93</v>
      </c>
      <c r="Y10" s="38">
        <v>1.5</v>
      </c>
      <c r="Z10" s="86" t="s">
        <v>94</v>
      </c>
      <c r="AA10" s="89" t="s">
        <v>31</v>
      </c>
      <c r="AB10" s="37" t="s">
        <v>95</v>
      </c>
      <c r="AC10" s="197" t="s">
        <v>476</v>
      </c>
      <c r="AD10" s="187"/>
      <c r="AE10" s="187" t="s">
        <v>402</v>
      </c>
      <c r="AF10" s="187"/>
      <c r="AG10" s="187"/>
      <c r="AH10" s="123" t="s">
        <v>461</v>
      </c>
      <c r="AI10" s="187" t="s">
        <v>454</v>
      </c>
      <c r="AJ10" s="196">
        <v>0</v>
      </c>
      <c r="AK10" s="120">
        <v>0</v>
      </c>
      <c r="AL10" s="196">
        <v>0</v>
      </c>
      <c r="AM10" s="121">
        <v>0</v>
      </c>
      <c r="AN10" s="187"/>
      <c r="AO10" s="187"/>
      <c r="AP10" s="125" t="s">
        <v>461</v>
      </c>
      <c r="AQ10" s="187"/>
      <c r="AR10" s="187"/>
      <c r="AS10" s="122" t="s">
        <v>461</v>
      </c>
      <c r="AT10" s="187">
        <v>1</v>
      </c>
      <c r="AU10" s="187">
        <v>1000</v>
      </c>
      <c r="AV10" s="122">
        <v>12831.910444027517</v>
      </c>
      <c r="AW10" s="187"/>
      <c r="AX10" s="187"/>
      <c r="AY10" s="122" t="s">
        <v>461</v>
      </c>
      <c r="AZ10" s="187"/>
      <c r="BA10" s="187"/>
      <c r="BB10" s="187" t="s">
        <v>461</v>
      </c>
      <c r="BC10" s="187"/>
      <c r="BD10" s="195" t="s">
        <v>461</v>
      </c>
      <c r="BE10" s="3"/>
    </row>
    <row r="11" spans="1:57" x14ac:dyDescent="0.25">
      <c r="A11" s="37" t="s">
        <v>90</v>
      </c>
      <c r="B11" s="38" t="s">
        <v>25</v>
      </c>
      <c r="C11" s="38" t="s">
        <v>26</v>
      </c>
      <c r="D11" s="38" t="s">
        <v>91</v>
      </c>
      <c r="E11" s="38" t="s">
        <v>92</v>
      </c>
      <c r="F11" s="38">
        <v>2023</v>
      </c>
      <c r="G11" s="23" t="s">
        <v>477</v>
      </c>
      <c r="H11" s="25" t="s">
        <v>111</v>
      </c>
      <c r="I11" s="80" t="s">
        <v>457</v>
      </c>
      <c r="J11" s="38" t="s">
        <v>32</v>
      </c>
      <c r="K11" s="23">
        <v>1</v>
      </c>
      <c r="L11" s="23">
        <v>6</v>
      </c>
      <c r="M11" s="23">
        <v>475</v>
      </c>
      <c r="N11" s="132">
        <v>0</v>
      </c>
      <c r="O11" s="23" t="s">
        <v>31</v>
      </c>
      <c r="P11" s="23">
        <v>0</v>
      </c>
      <c r="Q11" s="217" t="s">
        <v>458</v>
      </c>
      <c r="R11" s="126">
        <v>0</v>
      </c>
      <c r="S11" s="38" t="s">
        <v>33</v>
      </c>
      <c r="T11" s="38">
        <v>1620.75</v>
      </c>
      <c r="U11" s="38">
        <v>2</v>
      </c>
      <c r="V11" s="23" t="s">
        <v>31</v>
      </c>
      <c r="W11" s="23" t="s">
        <v>31</v>
      </c>
      <c r="X11" s="38" t="s">
        <v>93</v>
      </c>
      <c r="Y11" s="38">
        <v>1.5</v>
      </c>
      <c r="Z11" s="86" t="s">
        <v>94</v>
      </c>
      <c r="AA11" s="89" t="s">
        <v>31</v>
      </c>
      <c r="AB11" s="37" t="s">
        <v>95</v>
      </c>
      <c r="AC11" s="187" t="s">
        <v>478</v>
      </c>
      <c r="AD11" s="187"/>
      <c r="AE11" s="187" t="s">
        <v>460</v>
      </c>
      <c r="AF11" s="187"/>
      <c r="AG11" s="187"/>
      <c r="AH11" s="123" t="s">
        <v>461</v>
      </c>
      <c r="AI11" s="187" t="s">
        <v>454</v>
      </c>
      <c r="AJ11" s="196">
        <v>1</v>
      </c>
      <c r="AK11" s="120">
        <v>1714.6341463414635</v>
      </c>
      <c r="AL11" s="196">
        <v>1</v>
      </c>
      <c r="AM11" s="121">
        <v>870.73170731707319</v>
      </c>
      <c r="AN11" s="187"/>
      <c r="AO11" s="187"/>
      <c r="AP11" s="125" t="s">
        <v>461</v>
      </c>
      <c r="AQ11" s="187">
        <v>1</v>
      </c>
      <c r="AR11" s="187">
        <v>500</v>
      </c>
      <c r="AS11" s="123">
        <v>12457.487804878048</v>
      </c>
      <c r="AT11" s="187"/>
      <c r="AU11" s="187"/>
      <c r="AV11" s="122" t="s">
        <v>461</v>
      </c>
      <c r="AW11" s="187"/>
      <c r="AX11" s="187"/>
      <c r="AY11" s="122" t="s">
        <v>461</v>
      </c>
      <c r="AZ11" s="187"/>
      <c r="BA11" s="187"/>
      <c r="BB11" s="187" t="s">
        <v>461</v>
      </c>
      <c r="BC11" s="187"/>
      <c r="BD11" s="195" t="s">
        <v>461</v>
      </c>
      <c r="BE11" s="3"/>
    </row>
    <row r="12" spans="1:57" x14ac:dyDescent="0.25">
      <c r="A12" s="37" t="s">
        <v>90</v>
      </c>
      <c r="B12" s="38" t="s">
        <v>25</v>
      </c>
      <c r="C12" s="38" t="s">
        <v>26</v>
      </c>
      <c r="D12" s="38" t="s">
        <v>91</v>
      </c>
      <c r="E12" s="38" t="s">
        <v>92</v>
      </c>
      <c r="F12" s="38">
        <v>2023</v>
      </c>
      <c r="G12" s="150" t="s">
        <v>112</v>
      </c>
      <c r="H12" s="23" t="s">
        <v>112</v>
      </c>
      <c r="I12" s="23" t="s">
        <v>457</v>
      </c>
      <c r="J12" s="38" t="s">
        <v>32</v>
      </c>
      <c r="K12" s="23">
        <v>1</v>
      </c>
      <c r="L12" s="23">
        <v>6</v>
      </c>
      <c r="M12" s="23">
        <v>475</v>
      </c>
      <c r="N12" s="132">
        <v>0</v>
      </c>
      <c r="O12" s="23" t="s">
        <v>31</v>
      </c>
      <c r="P12" s="23">
        <v>0</v>
      </c>
      <c r="Q12" s="217" t="s">
        <v>458</v>
      </c>
      <c r="R12" s="126">
        <v>0</v>
      </c>
      <c r="S12" s="38" t="s">
        <v>33</v>
      </c>
      <c r="T12" s="38">
        <v>1620.75</v>
      </c>
      <c r="U12" s="38">
        <v>2</v>
      </c>
      <c r="V12" s="23" t="s">
        <v>31</v>
      </c>
      <c r="W12" s="23" t="s">
        <v>31</v>
      </c>
      <c r="X12" s="38" t="s">
        <v>93</v>
      </c>
      <c r="Y12" s="38">
        <v>1.5</v>
      </c>
      <c r="Z12" s="86" t="s">
        <v>94</v>
      </c>
      <c r="AA12" s="89" t="s">
        <v>31</v>
      </c>
      <c r="AB12" s="37" t="s">
        <v>95</v>
      </c>
      <c r="AC12" s="187" t="s">
        <v>479</v>
      </c>
      <c r="AD12" s="187">
        <v>5</v>
      </c>
      <c r="AE12" s="187" t="s">
        <v>402</v>
      </c>
      <c r="AF12" s="187"/>
      <c r="AG12" s="187"/>
      <c r="AH12" s="123" t="s">
        <v>461</v>
      </c>
      <c r="AI12" s="187" t="s">
        <v>454</v>
      </c>
      <c r="AJ12" s="196">
        <v>1</v>
      </c>
      <c r="AK12" s="120">
        <v>1714.6341463414635</v>
      </c>
      <c r="AL12" s="196">
        <v>1</v>
      </c>
      <c r="AM12" s="121">
        <v>870.73170731707319</v>
      </c>
      <c r="AN12" s="187"/>
      <c r="AO12" s="187"/>
      <c r="AP12" s="125" t="s">
        <v>461</v>
      </c>
      <c r="AQ12" s="187">
        <v>0.2</v>
      </c>
      <c r="AR12" s="187">
        <v>1000</v>
      </c>
      <c r="AS12" s="123">
        <v>3716.4975609756098</v>
      </c>
      <c r="AT12" s="187">
        <v>2</v>
      </c>
      <c r="AU12" s="187">
        <v>1500</v>
      </c>
      <c r="AV12" s="122">
        <v>42904.012682926834</v>
      </c>
      <c r="AW12" s="187"/>
      <c r="AX12" s="187"/>
      <c r="AY12" s="122" t="s">
        <v>461</v>
      </c>
      <c r="AZ12" s="187" t="s">
        <v>469</v>
      </c>
      <c r="BA12" s="187"/>
      <c r="BB12" s="187" t="s">
        <v>461</v>
      </c>
      <c r="BC12" s="187">
        <v>1</v>
      </c>
      <c r="BD12" s="195">
        <v>9756.0975609756097</v>
      </c>
      <c r="BE12" s="3"/>
    </row>
    <row r="13" spans="1:57" x14ac:dyDescent="0.25">
      <c r="A13" s="37" t="s">
        <v>90</v>
      </c>
      <c r="B13" s="38" t="s">
        <v>25</v>
      </c>
      <c r="C13" s="38" t="s">
        <v>26</v>
      </c>
      <c r="D13" s="38" t="s">
        <v>91</v>
      </c>
      <c r="E13" s="38" t="s">
        <v>92</v>
      </c>
      <c r="F13" s="38">
        <v>2023</v>
      </c>
      <c r="G13" s="23" t="s">
        <v>67</v>
      </c>
      <c r="H13" s="25" t="s">
        <v>113</v>
      </c>
      <c r="I13" s="80" t="s">
        <v>457</v>
      </c>
      <c r="J13" s="38" t="s">
        <v>32</v>
      </c>
      <c r="K13" s="23">
        <v>1</v>
      </c>
      <c r="L13" s="23">
        <v>6</v>
      </c>
      <c r="M13" s="23">
        <v>475</v>
      </c>
      <c r="N13" s="132">
        <v>0</v>
      </c>
      <c r="O13" s="23" t="s">
        <v>31</v>
      </c>
      <c r="P13" s="23">
        <v>0</v>
      </c>
      <c r="Q13" s="217" t="s">
        <v>458</v>
      </c>
      <c r="R13" s="126">
        <v>0</v>
      </c>
      <c r="S13" s="38" t="s">
        <v>33</v>
      </c>
      <c r="T13" s="38">
        <v>1620.75</v>
      </c>
      <c r="U13" s="38">
        <v>2</v>
      </c>
      <c r="V13" s="23" t="s">
        <v>31</v>
      </c>
      <c r="W13" s="23" t="s">
        <v>31</v>
      </c>
      <c r="X13" s="38" t="s">
        <v>93</v>
      </c>
      <c r="Y13" s="38">
        <v>1.5</v>
      </c>
      <c r="Z13" s="86" t="s">
        <v>94</v>
      </c>
      <c r="AA13" s="89" t="s">
        <v>31</v>
      </c>
      <c r="AB13" s="37" t="s">
        <v>95</v>
      </c>
      <c r="AC13" s="187"/>
      <c r="AD13" s="187">
        <v>4</v>
      </c>
      <c r="AE13" s="187" t="s">
        <v>460</v>
      </c>
      <c r="AF13" s="187"/>
      <c r="AG13" s="187"/>
      <c r="AH13" s="123" t="s">
        <v>461</v>
      </c>
      <c r="AI13" s="187"/>
      <c r="AJ13" s="196"/>
      <c r="AK13" s="120">
        <v>0</v>
      </c>
      <c r="AL13" s="196">
        <v>1</v>
      </c>
      <c r="AM13" s="121">
        <v>870.73170731707319</v>
      </c>
      <c r="AN13" s="187"/>
      <c r="AO13" s="187"/>
      <c r="AP13" s="125" t="s">
        <v>461</v>
      </c>
      <c r="AQ13" s="187"/>
      <c r="AR13" s="187"/>
      <c r="AS13" s="122" t="s">
        <v>461</v>
      </c>
      <c r="AT13" s="187"/>
      <c r="AU13" s="187"/>
      <c r="AV13" s="122" t="s">
        <v>461</v>
      </c>
      <c r="AW13" s="187"/>
      <c r="AX13" s="187"/>
      <c r="AY13" s="122" t="s">
        <v>461</v>
      </c>
      <c r="AZ13" s="187"/>
      <c r="BA13" s="187"/>
      <c r="BB13" s="187" t="s">
        <v>461</v>
      </c>
      <c r="BC13" s="187"/>
      <c r="BD13" s="195" t="s">
        <v>461</v>
      </c>
      <c r="BE13" s="3"/>
    </row>
    <row r="14" spans="1:57" x14ac:dyDescent="0.25">
      <c r="A14" s="37" t="s">
        <v>90</v>
      </c>
      <c r="B14" s="38" t="s">
        <v>25</v>
      </c>
      <c r="C14" s="38" t="s">
        <v>26</v>
      </c>
      <c r="D14" s="38" t="s">
        <v>91</v>
      </c>
      <c r="E14" s="38" t="s">
        <v>92</v>
      </c>
      <c r="F14" s="38">
        <v>2023</v>
      </c>
      <c r="G14" s="23" t="s">
        <v>42</v>
      </c>
      <c r="H14" s="23" t="s">
        <v>66</v>
      </c>
      <c r="I14" s="23" t="s">
        <v>457</v>
      </c>
      <c r="J14" s="38" t="s">
        <v>32</v>
      </c>
      <c r="K14" s="23">
        <v>1</v>
      </c>
      <c r="L14" s="23">
        <v>6</v>
      </c>
      <c r="M14" s="23">
        <v>475</v>
      </c>
      <c r="N14" s="132">
        <v>0</v>
      </c>
      <c r="O14" s="23" t="s">
        <v>31</v>
      </c>
      <c r="P14" s="23">
        <v>0</v>
      </c>
      <c r="Q14" s="217" t="s">
        <v>458</v>
      </c>
      <c r="R14" s="126">
        <v>0</v>
      </c>
      <c r="S14" s="38" t="s">
        <v>33</v>
      </c>
      <c r="T14" s="38">
        <v>1620.75</v>
      </c>
      <c r="U14" s="38">
        <v>2</v>
      </c>
      <c r="V14" s="23" t="s">
        <v>31</v>
      </c>
      <c r="W14" s="23" t="s">
        <v>31</v>
      </c>
      <c r="X14" s="38" t="s">
        <v>93</v>
      </c>
      <c r="Y14" s="38">
        <v>1.5</v>
      </c>
      <c r="Z14" s="86" t="s">
        <v>94</v>
      </c>
      <c r="AA14" s="89" t="s">
        <v>31</v>
      </c>
      <c r="AB14" s="37" t="s">
        <v>95</v>
      </c>
      <c r="AC14" s="187" t="s">
        <v>466</v>
      </c>
      <c r="AD14" s="187">
        <v>4</v>
      </c>
      <c r="AE14" s="187" t="s">
        <v>460</v>
      </c>
      <c r="AF14" s="187"/>
      <c r="AG14" s="187"/>
      <c r="AH14" s="123" t="s">
        <v>461</v>
      </c>
      <c r="AI14" s="187"/>
      <c r="AJ14" s="196"/>
      <c r="AK14" s="120">
        <v>0</v>
      </c>
      <c r="AL14" s="196">
        <v>1</v>
      </c>
      <c r="AM14" s="121">
        <v>870.73170731707319</v>
      </c>
      <c r="AN14" s="187"/>
      <c r="AO14" s="187"/>
      <c r="AP14" s="125" t="s">
        <v>461</v>
      </c>
      <c r="AQ14" s="187"/>
      <c r="AR14" s="187"/>
      <c r="AS14" s="122" t="s">
        <v>461</v>
      </c>
      <c r="AT14" s="187"/>
      <c r="AU14" s="187"/>
      <c r="AV14" s="122" t="s">
        <v>461</v>
      </c>
      <c r="AW14" s="187"/>
      <c r="AX14" s="187"/>
      <c r="AY14" s="122" t="s">
        <v>461</v>
      </c>
      <c r="AZ14" s="187"/>
      <c r="BA14" s="187"/>
      <c r="BB14" s="187" t="s">
        <v>461</v>
      </c>
      <c r="BC14" s="187">
        <v>1</v>
      </c>
      <c r="BD14" s="195" t="s">
        <v>461</v>
      </c>
      <c r="BE14" s="3" t="s">
        <v>480</v>
      </c>
    </row>
    <row r="15" spans="1:57" x14ac:dyDescent="0.25">
      <c r="A15" s="37" t="s">
        <v>90</v>
      </c>
      <c r="B15" s="38" t="s">
        <v>25</v>
      </c>
      <c r="C15" s="38" t="s">
        <v>26</v>
      </c>
      <c r="D15" s="38" t="s">
        <v>91</v>
      </c>
      <c r="E15" s="38" t="s">
        <v>92</v>
      </c>
      <c r="F15" s="38">
        <v>2023</v>
      </c>
      <c r="G15" s="23" t="s">
        <v>137</v>
      </c>
      <c r="H15" s="23" t="s">
        <v>135</v>
      </c>
      <c r="I15" s="23" t="s">
        <v>31</v>
      </c>
      <c r="J15" s="38" t="s">
        <v>32</v>
      </c>
      <c r="K15" s="23">
        <v>2</v>
      </c>
      <c r="L15" s="23">
        <v>6</v>
      </c>
      <c r="M15" s="23">
        <v>475</v>
      </c>
      <c r="N15" s="132">
        <v>0</v>
      </c>
      <c r="O15" s="23" t="s">
        <v>31</v>
      </c>
      <c r="P15" s="23">
        <v>0</v>
      </c>
      <c r="Q15" s="217" t="s">
        <v>458</v>
      </c>
      <c r="R15" s="126">
        <v>0</v>
      </c>
      <c r="S15" s="38" t="s">
        <v>33</v>
      </c>
      <c r="T15" s="38">
        <v>1620.75</v>
      </c>
      <c r="U15" s="38">
        <v>4</v>
      </c>
      <c r="V15" s="23" t="s">
        <v>31</v>
      </c>
      <c r="W15" s="23" t="s">
        <v>31</v>
      </c>
      <c r="X15" s="44" t="s">
        <v>93</v>
      </c>
      <c r="Y15" s="37">
        <v>3</v>
      </c>
      <c r="Z15" s="86" t="s">
        <v>94</v>
      </c>
      <c r="AA15" s="89" t="s">
        <v>31</v>
      </c>
      <c r="AB15" s="37" t="s">
        <v>95</v>
      </c>
      <c r="AC15" s="187" t="s">
        <v>481</v>
      </c>
      <c r="AD15" s="187">
        <v>1</v>
      </c>
      <c r="AE15" s="187" t="s">
        <v>402</v>
      </c>
      <c r="AF15" s="187" t="s">
        <v>402</v>
      </c>
      <c r="AG15" s="187">
        <v>1</v>
      </c>
      <c r="AH15" s="123">
        <v>9756.0975609756097</v>
      </c>
      <c r="AI15" s="187" t="s">
        <v>402</v>
      </c>
      <c r="AJ15" s="196">
        <v>1</v>
      </c>
      <c r="AK15" s="120">
        <v>1714.6341463414635</v>
      </c>
      <c r="AL15" s="196">
        <v>1</v>
      </c>
      <c r="AM15" s="121">
        <v>870.73170731707319</v>
      </c>
      <c r="AN15" s="187"/>
      <c r="AO15" s="187"/>
      <c r="AP15" s="125" t="s">
        <v>461</v>
      </c>
      <c r="AQ15" s="187"/>
      <c r="AR15" s="187"/>
      <c r="AS15" s="122" t="s">
        <v>461</v>
      </c>
      <c r="AT15" s="187"/>
      <c r="AU15" s="187"/>
      <c r="AV15" s="122" t="s">
        <v>461</v>
      </c>
      <c r="AW15" s="187"/>
      <c r="AX15" s="187"/>
      <c r="AY15" s="122" t="s">
        <v>461</v>
      </c>
      <c r="AZ15" s="187">
        <v>2</v>
      </c>
      <c r="BA15" s="187">
        <v>5</v>
      </c>
      <c r="BB15" s="221">
        <v>13526.829268292684</v>
      </c>
      <c r="BC15" s="187"/>
      <c r="BD15" s="195" t="s">
        <v>461</v>
      </c>
      <c r="BE15" s="3"/>
    </row>
    <row r="16" spans="1:57" x14ac:dyDescent="0.25">
      <c r="A16" s="37" t="s">
        <v>90</v>
      </c>
      <c r="B16" s="38" t="s">
        <v>25</v>
      </c>
      <c r="C16" s="38" t="s">
        <v>26</v>
      </c>
      <c r="D16" s="38" t="s">
        <v>91</v>
      </c>
      <c r="E16" s="38" t="s">
        <v>92</v>
      </c>
      <c r="F16" s="38">
        <v>2023</v>
      </c>
      <c r="G16" s="23" t="s">
        <v>140</v>
      </c>
      <c r="H16" s="23" t="s">
        <v>135</v>
      </c>
      <c r="I16" s="23" t="s">
        <v>31</v>
      </c>
      <c r="J16" s="38" t="s">
        <v>32</v>
      </c>
      <c r="K16" s="23">
        <v>1</v>
      </c>
      <c r="L16" s="23">
        <v>2</v>
      </c>
      <c r="M16" s="23">
        <v>475</v>
      </c>
      <c r="N16" s="130">
        <v>0</v>
      </c>
      <c r="O16" s="23" t="s">
        <v>31</v>
      </c>
      <c r="P16" s="23">
        <v>0</v>
      </c>
      <c r="Q16" s="217" t="s">
        <v>458</v>
      </c>
      <c r="R16" s="126">
        <v>0</v>
      </c>
      <c r="S16" s="38" t="s">
        <v>33</v>
      </c>
      <c r="T16" s="38">
        <v>1620.75</v>
      </c>
      <c r="U16" s="38">
        <v>2</v>
      </c>
      <c r="V16" s="23" t="s">
        <v>31</v>
      </c>
      <c r="W16" s="23" t="s">
        <v>31</v>
      </c>
      <c r="X16" s="44" t="s">
        <v>93</v>
      </c>
      <c r="Y16" s="37">
        <v>1.5</v>
      </c>
      <c r="Z16" s="44" t="s">
        <v>94</v>
      </c>
      <c r="AA16" s="92" t="s">
        <v>31</v>
      </c>
      <c r="AB16" s="37" t="s">
        <v>95</v>
      </c>
      <c r="AC16" s="187" t="s">
        <v>482</v>
      </c>
      <c r="AD16" s="187">
        <v>5</v>
      </c>
      <c r="AE16" s="187" t="s">
        <v>402</v>
      </c>
      <c r="AF16" s="187"/>
      <c r="AG16" s="187"/>
      <c r="AH16" s="123" t="s">
        <v>461</v>
      </c>
      <c r="AI16" s="187"/>
      <c r="AJ16" s="196"/>
      <c r="AK16" s="120">
        <v>0</v>
      </c>
      <c r="AL16" s="196">
        <v>1</v>
      </c>
      <c r="AM16" s="121">
        <v>870.73170731707319</v>
      </c>
      <c r="AN16" s="187"/>
      <c r="AO16" s="187"/>
      <c r="AP16" s="125" t="s">
        <v>461</v>
      </c>
      <c r="AQ16" s="187"/>
      <c r="AR16" s="187"/>
      <c r="AS16" s="122" t="s">
        <v>461</v>
      </c>
      <c r="AT16" s="187"/>
      <c r="AU16" s="187"/>
      <c r="AV16" s="122" t="s">
        <v>461</v>
      </c>
      <c r="AW16" s="187"/>
      <c r="AX16" s="187"/>
      <c r="AY16" s="122" t="s">
        <v>461</v>
      </c>
      <c r="AZ16" s="187">
        <v>1</v>
      </c>
      <c r="BA16" s="187">
        <v>5</v>
      </c>
      <c r="BB16" s="221">
        <v>13526.829268292684</v>
      </c>
      <c r="BC16" s="187"/>
      <c r="BD16" s="195" t="s">
        <v>461</v>
      </c>
      <c r="BE16" s="3"/>
    </row>
    <row r="17" spans="1:57" x14ac:dyDescent="0.25">
      <c r="A17" s="37" t="s">
        <v>90</v>
      </c>
      <c r="B17" s="38" t="s">
        <v>25</v>
      </c>
      <c r="C17" s="38" t="s">
        <v>26</v>
      </c>
      <c r="D17" s="38" t="s">
        <v>91</v>
      </c>
      <c r="E17" s="38" t="s">
        <v>92</v>
      </c>
      <c r="F17" s="38">
        <v>2023</v>
      </c>
      <c r="G17" s="23" t="s">
        <v>74</v>
      </c>
      <c r="H17" s="23" t="s">
        <v>75</v>
      </c>
      <c r="I17" s="23" t="s">
        <v>31</v>
      </c>
      <c r="J17" s="38" t="s">
        <v>32</v>
      </c>
      <c r="K17" s="23">
        <v>1</v>
      </c>
      <c r="L17" s="23">
        <v>6</v>
      </c>
      <c r="M17" s="23">
        <v>475</v>
      </c>
      <c r="N17" s="132">
        <v>0</v>
      </c>
      <c r="O17" s="23" t="s">
        <v>31</v>
      </c>
      <c r="P17" s="23">
        <v>0</v>
      </c>
      <c r="Q17" s="217" t="s">
        <v>458</v>
      </c>
      <c r="R17" s="126">
        <v>0</v>
      </c>
      <c r="S17" s="38" t="s">
        <v>33</v>
      </c>
      <c r="T17" s="38">
        <v>1620.75</v>
      </c>
      <c r="U17" s="38">
        <v>2</v>
      </c>
      <c r="V17" s="23" t="s">
        <v>31</v>
      </c>
      <c r="W17" s="23" t="s">
        <v>31</v>
      </c>
      <c r="X17" s="38" t="s">
        <v>93</v>
      </c>
      <c r="Y17" s="38">
        <v>1.5</v>
      </c>
      <c r="Z17" s="38" t="s">
        <v>94</v>
      </c>
      <c r="AA17" s="38" t="s">
        <v>31</v>
      </c>
      <c r="AB17" s="38" t="s">
        <v>95</v>
      </c>
      <c r="AC17" s="187" t="s">
        <v>471</v>
      </c>
      <c r="AD17" s="187" t="s">
        <v>437</v>
      </c>
      <c r="AE17" s="187" t="s">
        <v>460</v>
      </c>
      <c r="AF17" s="187"/>
      <c r="AG17" s="187"/>
      <c r="AH17" s="123" t="s">
        <v>461</v>
      </c>
      <c r="AI17" s="187" t="s">
        <v>407</v>
      </c>
      <c r="AJ17" s="196"/>
      <c r="AK17" s="120">
        <v>0</v>
      </c>
      <c r="AL17" s="196">
        <v>1</v>
      </c>
      <c r="AM17" s="121">
        <v>870.73170731707319</v>
      </c>
      <c r="AN17" s="187" t="s">
        <v>407</v>
      </c>
      <c r="AO17" s="187"/>
      <c r="AP17" s="125" t="s">
        <v>461</v>
      </c>
      <c r="AQ17" s="187"/>
      <c r="AR17" s="187"/>
      <c r="AS17" s="122" t="s">
        <v>461</v>
      </c>
      <c r="AT17" s="187">
        <v>1</v>
      </c>
      <c r="AU17" s="187">
        <v>500</v>
      </c>
      <c r="AV17" s="122">
        <v>9151.2950594121339</v>
      </c>
      <c r="AW17" s="187"/>
      <c r="AX17" s="187"/>
      <c r="AY17" s="122" t="s">
        <v>461</v>
      </c>
      <c r="AZ17" s="187"/>
      <c r="BA17" s="187"/>
      <c r="BB17" s="221" t="s">
        <v>461</v>
      </c>
      <c r="BC17" s="187"/>
      <c r="BD17" s="195" t="s">
        <v>461</v>
      </c>
      <c r="BE17" s="3"/>
    </row>
    <row r="18" spans="1:57" x14ac:dyDescent="0.25">
      <c r="A18" s="37" t="s">
        <v>90</v>
      </c>
      <c r="B18" s="38" t="s">
        <v>25</v>
      </c>
      <c r="C18" s="38" t="s">
        <v>26</v>
      </c>
      <c r="D18" s="38" t="s">
        <v>91</v>
      </c>
      <c r="E18" s="38" t="s">
        <v>92</v>
      </c>
      <c r="F18" s="38">
        <v>2023</v>
      </c>
      <c r="G18" s="23" t="s">
        <v>483</v>
      </c>
      <c r="H18" s="23" t="s">
        <v>53</v>
      </c>
      <c r="I18" s="27" t="s">
        <v>31</v>
      </c>
      <c r="J18" s="38" t="s">
        <v>32</v>
      </c>
      <c r="K18" s="23">
        <v>3</v>
      </c>
      <c r="L18" s="23">
        <v>10</v>
      </c>
      <c r="M18" s="23">
        <v>475</v>
      </c>
      <c r="N18" s="132">
        <v>0</v>
      </c>
      <c r="O18" s="23" t="s">
        <v>31</v>
      </c>
      <c r="P18" s="23">
        <v>0</v>
      </c>
      <c r="Q18" s="217" t="s">
        <v>458</v>
      </c>
      <c r="R18" s="126">
        <v>0</v>
      </c>
      <c r="S18" s="38" t="s">
        <v>33</v>
      </c>
      <c r="T18" s="38">
        <v>1620.75</v>
      </c>
      <c r="U18" s="38">
        <v>6</v>
      </c>
      <c r="V18" s="23" t="s">
        <v>31</v>
      </c>
      <c r="W18" s="23" t="s">
        <v>31</v>
      </c>
      <c r="X18" s="38" t="s">
        <v>93</v>
      </c>
      <c r="Y18" s="38">
        <v>4.5</v>
      </c>
      <c r="Z18" s="38" t="s">
        <v>94</v>
      </c>
      <c r="AA18" s="38" t="s">
        <v>31</v>
      </c>
      <c r="AB18" s="38" t="s">
        <v>95</v>
      </c>
      <c r="AC18" s="187" t="s">
        <v>484</v>
      </c>
      <c r="AD18" s="187">
        <v>4</v>
      </c>
      <c r="AE18" s="187" t="s">
        <v>402</v>
      </c>
      <c r="AF18" s="187"/>
      <c r="AG18" s="187"/>
      <c r="AH18" s="123" t="s">
        <v>461</v>
      </c>
      <c r="AI18" s="187" t="s">
        <v>485</v>
      </c>
      <c r="AJ18" s="196">
        <v>1</v>
      </c>
      <c r="AK18" s="120">
        <v>1714.6341463414635</v>
      </c>
      <c r="AL18" s="196">
        <v>1</v>
      </c>
      <c r="AM18" s="121">
        <v>870.73170731707319</v>
      </c>
      <c r="AN18" s="187" t="s">
        <v>486</v>
      </c>
      <c r="AO18" s="187">
        <v>1</v>
      </c>
      <c r="AP18" s="125">
        <v>24390.243902439026</v>
      </c>
      <c r="AQ18" s="187">
        <v>0</v>
      </c>
      <c r="AR18" s="187">
        <v>0</v>
      </c>
      <c r="AS18" s="122" t="s">
        <v>461</v>
      </c>
      <c r="AT18" s="187">
        <v>0</v>
      </c>
      <c r="AU18" s="187">
        <v>0</v>
      </c>
      <c r="AV18" s="122" t="s">
        <v>461</v>
      </c>
      <c r="AW18" s="187">
        <v>0</v>
      </c>
      <c r="AX18" s="187">
        <v>0</v>
      </c>
      <c r="AY18" s="122" t="s">
        <v>461</v>
      </c>
      <c r="AZ18" s="187">
        <v>0</v>
      </c>
      <c r="BA18" s="187">
        <v>0</v>
      </c>
      <c r="BB18" s="187" t="s">
        <v>461</v>
      </c>
      <c r="BC18" s="187"/>
      <c r="BD18" s="195" t="s">
        <v>461</v>
      </c>
      <c r="BE18" s="3"/>
    </row>
    <row r="19" spans="1:57" x14ac:dyDescent="0.25">
      <c r="A19" s="24" t="s">
        <v>241</v>
      </c>
      <c r="B19" s="23" t="s">
        <v>242</v>
      </c>
      <c r="C19" s="23" t="s">
        <v>243</v>
      </c>
      <c r="D19" s="38" t="s">
        <v>352</v>
      </c>
      <c r="E19" s="23" t="s">
        <v>245</v>
      </c>
      <c r="F19" s="23">
        <v>2023</v>
      </c>
      <c r="G19" s="23" t="s">
        <v>109</v>
      </c>
      <c r="H19" s="23" t="s">
        <v>109</v>
      </c>
      <c r="I19" s="80" t="s">
        <v>457</v>
      </c>
      <c r="J19" s="23" t="s">
        <v>246</v>
      </c>
      <c r="K19" s="23">
        <v>0</v>
      </c>
      <c r="L19" s="23">
        <v>0</v>
      </c>
      <c r="M19" s="23">
        <v>400</v>
      </c>
      <c r="N19" s="130">
        <v>0</v>
      </c>
      <c r="O19" s="23" t="s">
        <v>31</v>
      </c>
      <c r="P19" s="23">
        <v>0</v>
      </c>
      <c r="Q19" s="217" t="s">
        <v>458</v>
      </c>
      <c r="R19" s="126">
        <v>0</v>
      </c>
      <c r="S19" s="23" t="s">
        <v>247</v>
      </c>
      <c r="T19" s="23" t="s">
        <v>248</v>
      </c>
      <c r="U19" s="23" t="s">
        <v>31</v>
      </c>
      <c r="V19" s="23" t="s">
        <v>31</v>
      </c>
      <c r="W19" s="23" t="s">
        <v>31</v>
      </c>
      <c r="X19" s="23" t="s">
        <v>31</v>
      </c>
      <c r="Y19" s="23" t="s">
        <v>31</v>
      </c>
      <c r="Z19" s="23" t="s">
        <v>31</v>
      </c>
      <c r="AA19" s="23" t="s">
        <v>31</v>
      </c>
      <c r="AB19" s="23" t="s">
        <v>249</v>
      </c>
      <c r="AC19" s="187" t="s">
        <v>475</v>
      </c>
      <c r="AD19" s="187"/>
      <c r="AE19" s="187" t="s">
        <v>402</v>
      </c>
      <c r="AF19" s="187"/>
      <c r="AG19" s="187"/>
      <c r="AH19" s="123" t="s">
        <v>461</v>
      </c>
      <c r="AI19" s="187"/>
      <c r="AJ19" s="196"/>
      <c r="AK19" s="120">
        <v>0</v>
      </c>
      <c r="AL19" s="196">
        <v>0</v>
      </c>
      <c r="AM19" s="121">
        <v>0</v>
      </c>
      <c r="AN19" s="187"/>
      <c r="AO19" s="187"/>
      <c r="AP19" s="125" t="s">
        <v>461</v>
      </c>
      <c r="AQ19" s="187"/>
      <c r="AR19" s="187"/>
      <c r="AS19" s="122" t="s">
        <v>461</v>
      </c>
      <c r="AT19" s="187"/>
      <c r="AU19" s="187"/>
      <c r="AV19" s="122" t="s">
        <v>461</v>
      </c>
      <c r="AW19" s="187"/>
      <c r="AX19" s="187"/>
      <c r="AY19" s="122" t="s">
        <v>461</v>
      </c>
      <c r="AZ19" s="187"/>
      <c r="BA19" s="187"/>
      <c r="BB19" s="187" t="s">
        <v>461</v>
      </c>
      <c r="BC19" s="187"/>
      <c r="BD19" s="195" t="s">
        <v>461</v>
      </c>
      <c r="BE19" s="3"/>
    </row>
    <row r="20" spans="1:57" x14ac:dyDescent="0.25">
      <c r="A20" s="24" t="s">
        <v>241</v>
      </c>
      <c r="B20" s="23" t="s">
        <v>242</v>
      </c>
      <c r="C20" s="23" t="s">
        <v>243</v>
      </c>
      <c r="D20" s="38" t="s">
        <v>352</v>
      </c>
      <c r="E20" s="23" t="s">
        <v>245</v>
      </c>
      <c r="F20" s="23">
        <v>2023</v>
      </c>
      <c r="G20" s="23" t="s">
        <v>42</v>
      </c>
      <c r="H20" s="23" t="s">
        <v>66</v>
      </c>
      <c r="I20" s="23" t="s">
        <v>457</v>
      </c>
      <c r="J20" s="23" t="s">
        <v>258</v>
      </c>
      <c r="K20" s="23">
        <v>1</v>
      </c>
      <c r="L20" s="23">
        <v>0</v>
      </c>
      <c r="M20" s="23">
        <v>400</v>
      </c>
      <c r="N20" s="130">
        <v>0</v>
      </c>
      <c r="O20" s="23" t="s">
        <v>31</v>
      </c>
      <c r="P20" s="23">
        <v>0</v>
      </c>
      <c r="Q20" s="217" t="s">
        <v>458</v>
      </c>
      <c r="R20" s="126">
        <v>0</v>
      </c>
      <c r="S20" s="23" t="s">
        <v>247</v>
      </c>
      <c r="T20" s="23" t="s">
        <v>259</v>
      </c>
      <c r="U20" s="23">
        <v>2</v>
      </c>
      <c r="V20" s="23" t="s">
        <v>31</v>
      </c>
      <c r="W20" s="23" t="s">
        <v>31</v>
      </c>
      <c r="X20" s="23" t="s">
        <v>31</v>
      </c>
      <c r="Y20" s="23" t="s">
        <v>31</v>
      </c>
      <c r="Z20" s="23" t="s">
        <v>31</v>
      </c>
      <c r="AA20" s="23" t="s">
        <v>31</v>
      </c>
      <c r="AB20" s="23" t="s">
        <v>260</v>
      </c>
      <c r="AC20" s="187"/>
      <c r="AD20" s="187">
        <v>4</v>
      </c>
      <c r="AE20" s="187" t="s">
        <v>402</v>
      </c>
      <c r="AF20" s="187"/>
      <c r="AG20" s="187"/>
      <c r="AH20" s="123" t="s">
        <v>461</v>
      </c>
      <c r="AI20" s="187"/>
      <c r="AJ20" s="196"/>
      <c r="AK20" s="120">
        <v>0</v>
      </c>
      <c r="AL20" s="196">
        <v>1</v>
      </c>
      <c r="AM20" s="121">
        <v>870.73170731707319</v>
      </c>
      <c r="AN20" s="187"/>
      <c r="AO20" s="187"/>
      <c r="AP20" s="125" t="s">
        <v>461</v>
      </c>
      <c r="AQ20" s="187"/>
      <c r="AR20" s="187"/>
      <c r="AS20" s="122" t="s">
        <v>461</v>
      </c>
      <c r="AT20" s="187"/>
      <c r="AU20" s="187"/>
      <c r="AV20" s="122" t="s">
        <v>461</v>
      </c>
      <c r="AW20" s="187"/>
      <c r="AX20" s="187"/>
      <c r="AY20" s="122" t="s">
        <v>461</v>
      </c>
      <c r="AZ20" s="187"/>
      <c r="BA20" s="187"/>
      <c r="BB20" s="187" t="s">
        <v>461</v>
      </c>
      <c r="BC20" s="187"/>
      <c r="BD20" s="195" t="s">
        <v>461</v>
      </c>
      <c r="BE20" s="3"/>
    </row>
    <row r="21" spans="1:57" x14ac:dyDescent="0.25">
      <c r="A21" s="24" t="s">
        <v>241</v>
      </c>
      <c r="B21" s="23" t="s">
        <v>242</v>
      </c>
      <c r="C21" s="23" t="s">
        <v>243</v>
      </c>
      <c r="D21" s="38" t="s">
        <v>352</v>
      </c>
      <c r="E21" s="23" t="s">
        <v>245</v>
      </c>
      <c r="F21" s="23">
        <v>2023</v>
      </c>
      <c r="G21" s="23" t="s">
        <v>112</v>
      </c>
      <c r="H21" s="23" t="s">
        <v>112</v>
      </c>
      <c r="I21" s="23" t="s">
        <v>457</v>
      </c>
      <c r="J21" s="23" t="s">
        <v>258</v>
      </c>
      <c r="K21" s="23">
        <v>1</v>
      </c>
      <c r="L21" s="23">
        <v>0</v>
      </c>
      <c r="M21" s="23">
        <v>400</v>
      </c>
      <c r="N21" s="130">
        <v>0</v>
      </c>
      <c r="O21" s="23" t="s">
        <v>31</v>
      </c>
      <c r="P21" s="23">
        <v>0</v>
      </c>
      <c r="Q21" s="217" t="s">
        <v>458</v>
      </c>
      <c r="R21" s="126">
        <v>0</v>
      </c>
      <c r="S21" s="23" t="s">
        <v>247</v>
      </c>
      <c r="T21" s="23" t="s">
        <v>259</v>
      </c>
      <c r="U21" s="23">
        <v>2</v>
      </c>
      <c r="V21" s="23" t="s">
        <v>31</v>
      </c>
      <c r="W21" s="23" t="s">
        <v>31</v>
      </c>
      <c r="X21" s="23" t="s">
        <v>31</v>
      </c>
      <c r="Y21" s="23" t="s">
        <v>31</v>
      </c>
      <c r="Z21" s="23" t="s">
        <v>31</v>
      </c>
      <c r="AA21" s="23" t="s">
        <v>31</v>
      </c>
      <c r="AB21" s="23" t="s">
        <v>260</v>
      </c>
      <c r="AC21" s="187"/>
      <c r="AD21" s="187">
        <v>5</v>
      </c>
      <c r="AE21" s="187" t="s">
        <v>402</v>
      </c>
      <c r="AF21" s="187"/>
      <c r="AG21" s="187"/>
      <c r="AH21" s="123" t="s">
        <v>461</v>
      </c>
      <c r="AI21" s="187"/>
      <c r="AJ21" s="196"/>
      <c r="AK21" s="120">
        <v>0</v>
      </c>
      <c r="AL21" s="196">
        <v>1</v>
      </c>
      <c r="AM21" s="121">
        <v>870.73170731707319</v>
      </c>
      <c r="AN21" s="187"/>
      <c r="AO21" s="187"/>
      <c r="AP21" s="125" t="s">
        <v>461</v>
      </c>
      <c r="AQ21" s="187"/>
      <c r="AR21" s="187"/>
      <c r="AS21" s="122" t="s">
        <v>461</v>
      </c>
      <c r="AT21" s="187"/>
      <c r="AU21" s="187"/>
      <c r="AV21" s="122" t="s">
        <v>461</v>
      </c>
      <c r="AW21" s="187"/>
      <c r="AX21" s="187"/>
      <c r="AY21" s="122" t="s">
        <v>461</v>
      </c>
      <c r="AZ21" s="187"/>
      <c r="BA21" s="187"/>
      <c r="BB21" s="187" t="s">
        <v>461</v>
      </c>
      <c r="BC21" s="187"/>
      <c r="BD21" s="195" t="s">
        <v>461</v>
      </c>
      <c r="BE21" s="3"/>
    </row>
    <row r="22" spans="1:57" x14ac:dyDescent="0.25">
      <c r="A22" s="24" t="s">
        <v>241</v>
      </c>
      <c r="B22" s="23" t="s">
        <v>242</v>
      </c>
      <c r="C22" s="23" t="s">
        <v>243</v>
      </c>
      <c r="D22" s="38" t="s">
        <v>352</v>
      </c>
      <c r="E22" s="23" t="s">
        <v>245</v>
      </c>
      <c r="F22" s="23">
        <v>2023</v>
      </c>
      <c r="G22" s="23" t="s">
        <v>42</v>
      </c>
      <c r="H22" s="23" t="s">
        <v>66</v>
      </c>
      <c r="I22" s="23" t="s">
        <v>457</v>
      </c>
      <c r="J22" s="23" t="s">
        <v>246</v>
      </c>
      <c r="K22" s="23">
        <v>0</v>
      </c>
      <c r="L22" s="23">
        <v>0</v>
      </c>
      <c r="M22" s="23">
        <v>400</v>
      </c>
      <c r="N22" s="130">
        <v>0</v>
      </c>
      <c r="O22" s="23" t="s">
        <v>31</v>
      </c>
      <c r="P22" s="23">
        <v>0</v>
      </c>
      <c r="Q22" s="217" t="s">
        <v>458</v>
      </c>
      <c r="R22" s="126">
        <v>0</v>
      </c>
      <c r="S22" s="23" t="s">
        <v>247</v>
      </c>
      <c r="T22" s="23" t="s">
        <v>248</v>
      </c>
      <c r="U22" s="23" t="s">
        <v>31</v>
      </c>
      <c r="V22" s="23" t="s">
        <v>31</v>
      </c>
      <c r="W22" s="23" t="s">
        <v>31</v>
      </c>
      <c r="X22" s="23" t="s">
        <v>31</v>
      </c>
      <c r="Y22" s="23" t="s">
        <v>31</v>
      </c>
      <c r="Z22" s="23" t="s">
        <v>31</v>
      </c>
      <c r="AA22" s="23" t="s">
        <v>31</v>
      </c>
      <c r="AB22" s="23" t="s">
        <v>269</v>
      </c>
      <c r="AC22" s="187"/>
      <c r="AD22" s="187">
        <v>4</v>
      </c>
      <c r="AE22" s="187" t="s">
        <v>402</v>
      </c>
      <c r="AF22" s="187"/>
      <c r="AG22" s="187"/>
      <c r="AH22" s="123" t="s">
        <v>461</v>
      </c>
      <c r="AI22" s="187"/>
      <c r="AJ22" s="196"/>
      <c r="AK22" s="120">
        <v>0</v>
      </c>
      <c r="AL22" s="196">
        <v>0</v>
      </c>
      <c r="AM22" s="121">
        <v>0</v>
      </c>
      <c r="AN22" s="187"/>
      <c r="AO22" s="187"/>
      <c r="AP22" s="125" t="s">
        <v>461</v>
      </c>
      <c r="AQ22" s="187"/>
      <c r="AR22" s="187"/>
      <c r="AS22" s="122" t="s">
        <v>461</v>
      </c>
      <c r="AT22" s="187"/>
      <c r="AU22" s="187"/>
      <c r="AV22" s="122" t="s">
        <v>461</v>
      </c>
      <c r="AW22" s="187"/>
      <c r="AX22" s="187"/>
      <c r="AY22" s="122" t="s">
        <v>461</v>
      </c>
      <c r="AZ22" s="187"/>
      <c r="BA22" s="187"/>
      <c r="BB22" s="187" t="s">
        <v>461</v>
      </c>
      <c r="BC22" s="187"/>
      <c r="BD22" s="195" t="s">
        <v>461</v>
      </c>
      <c r="BE22" s="3"/>
    </row>
    <row r="23" spans="1:57" x14ac:dyDescent="0.25">
      <c r="A23" s="24" t="s">
        <v>241</v>
      </c>
      <c r="B23" s="23" t="s">
        <v>242</v>
      </c>
      <c r="C23" s="23" t="s">
        <v>243</v>
      </c>
      <c r="D23" s="38" t="s">
        <v>352</v>
      </c>
      <c r="E23" s="23" t="s">
        <v>245</v>
      </c>
      <c r="F23" s="23">
        <v>2023</v>
      </c>
      <c r="G23" s="23" t="s">
        <v>112</v>
      </c>
      <c r="H23" s="23" t="s">
        <v>112</v>
      </c>
      <c r="I23" s="23" t="s">
        <v>457</v>
      </c>
      <c r="J23" s="23" t="s">
        <v>246</v>
      </c>
      <c r="K23" s="23">
        <v>0</v>
      </c>
      <c r="L23" s="23">
        <v>0</v>
      </c>
      <c r="M23" s="23">
        <v>400</v>
      </c>
      <c r="N23" s="130">
        <v>0</v>
      </c>
      <c r="O23" s="23" t="s">
        <v>31</v>
      </c>
      <c r="P23" s="23">
        <v>0</v>
      </c>
      <c r="Q23" s="217" t="s">
        <v>458</v>
      </c>
      <c r="R23" s="126">
        <v>0</v>
      </c>
      <c r="S23" s="23" t="s">
        <v>247</v>
      </c>
      <c r="T23" s="23" t="s">
        <v>248</v>
      </c>
      <c r="U23" s="23" t="s">
        <v>31</v>
      </c>
      <c r="V23" s="23" t="s">
        <v>31</v>
      </c>
      <c r="W23" s="23" t="s">
        <v>31</v>
      </c>
      <c r="X23" s="23" t="s">
        <v>31</v>
      </c>
      <c r="Y23" s="23" t="s">
        <v>31</v>
      </c>
      <c r="Z23" s="23" t="s">
        <v>31</v>
      </c>
      <c r="AA23" s="23" t="s">
        <v>31</v>
      </c>
      <c r="AB23" s="23" t="s">
        <v>269</v>
      </c>
      <c r="AC23" s="187"/>
      <c r="AD23" s="187">
        <v>5</v>
      </c>
      <c r="AE23" s="187" t="s">
        <v>402</v>
      </c>
      <c r="AF23" s="187"/>
      <c r="AG23" s="187"/>
      <c r="AH23" s="123" t="s">
        <v>461</v>
      </c>
      <c r="AI23" s="187"/>
      <c r="AJ23" s="196"/>
      <c r="AK23" s="120">
        <v>0</v>
      </c>
      <c r="AL23" s="196">
        <v>0</v>
      </c>
      <c r="AM23" s="121">
        <v>0</v>
      </c>
      <c r="AN23" s="187"/>
      <c r="AO23" s="187"/>
      <c r="AP23" s="125" t="s">
        <v>461</v>
      </c>
      <c r="AQ23" s="187"/>
      <c r="AR23" s="187"/>
      <c r="AS23" s="122" t="s">
        <v>461</v>
      </c>
      <c r="AT23" s="187"/>
      <c r="AU23" s="187"/>
      <c r="AV23" s="122" t="s">
        <v>461</v>
      </c>
      <c r="AW23" s="187"/>
      <c r="AX23" s="187"/>
      <c r="AY23" s="122" t="s">
        <v>461</v>
      </c>
      <c r="AZ23" s="187"/>
      <c r="BA23" s="187"/>
      <c r="BB23" s="187" t="s">
        <v>461</v>
      </c>
      <c r="BC23" s="187"/>
      <c r="BD23" s="195" t="s">
        <v>461</v>
      </c>
      <c r="BE23" s="3"/>
    </row>
    <row r="24" spans="1:57" x14ac:dyDescent="0.25">
      <c r="A24" s="24" t="s">
        <v>241</v>
      </c>
      <c r="B24" s="23" t="s">
        <v>242</v>
      </c>
      <c r="C24" s="23" t="s">
        <v>243</v>
      </c>
      <c r="D24" s="38" t="s">
        <v>352</v>
      </c>
      <c r="E24" s="23" t="s">
        <v>245</v>
      </c>
      <c r="F24" s="23">
        <v>2023</v>
      </c>
      <c r="G24" s="23" t="s">
        <v>281</v>
      </c>
      <c r="H24" s="23" t="s">
        <v>57</v>
      </c>
      <c r="I24" s="23" t="s">
        <v>31</v>
      </c>
      <c r="J24" s="23" t="s">
        <v>275</v>
      </c>
      <c r="K24" s="23">
        <v>2</v>
      </c>
      <c r="L24" s="23">
        <v>2</v>
      </c>
      <c r="M24" s="29">
        <v>3800</v>
      </c>
      <c r="N24" s="132">
        <v>0</v>
      </c>
      <c r="O24" s="23" t="s">
        <v>31</v>
      </c>
      <c r="P24" s="23">
        <v>0</v>
      </c>
      <c r="Q24" s="217" t="s">
        <v>458</v>
      </c>
      <c r="R24" s="126">
        <v>0</v>
      </c>
      <c r="S24" s="23" t="s">
        <v>247</v>
      </c>
      <c r="T24" s="23" t="s">
        <v>276</v>
      </c>
      <c r="U24" s="23" t="s">
        <v>31</v>
      </c>
      <c r="V24" s="23" t="s">
        <v>31</v>
      </c>
      <c r="W24" s="23" t="s">
        <v>31</v>
      </c>
      <c r="X24" s="23" t="s">
        <v>31</v>
      </c>
      <c r="Y24" s="23" t="s">
        <v>31</v>
      </c>
      <c r="Z24" s="23" t="s">
        <v>31</v>
      </c>
      <c r="AA24" s="23" t="s">
        <v>31</v>
      </c>
      <c r="AB24" s="23" t="s">
        <v>277</v>
      </c>
      <c r="AC24" s="187" t="s">
        <v>449</v>
      </c>
      <c r="AD24" s="187" t="s">
        <v>448</v>
      </c>
      <c r="AE24" s="187" t="s">
        <v>403</v>
      </c>
      <c r="AF24" s="187"/>
      <c r="AG24" s="187"/>
      <c r="AH24" s="123" t="s">
        <v>461</v>
      </c>
      <c r="AI24" s="187"/>
      <c r="AJ24" s="196"/>
      <c r="AK24" s="120">
        <v>0</v>
      </c>
      <c r="AL24" s="196">
        <v>0</v>
      </c>
      <c r="AM24" s="121">
        <v>0</v>
      </c>
      <c r="AN24" s="187"/>
      <c r="AO24" s="187"/>
      <c r="AP24" s="125" t="s">
        <v>461</v>
      </c>
      <c r="AQ24" s="187"/>
      <c r="AR24" s="187"/>
      <c r="AS24" s="122" t="s">
        <v>461</v>
      </c>
      <c r="AT24" s="187"/>
      <c r="AU24" s="187"/>
      <c r="AV24" s="122" t="s">
        <v>461</v>
      </c>
      <c r="AW24" s="187"/>
      <c r="AX24" s="187"/>
      <c r="AY24" s="122" t="s">
        <v>461</v>
      </c>
      <c r="AZ24" s="187"/>
      <c r="BA24" s="187"/>
      <c r="BB24" s="187" t="s">
        <v>461</v>
      </c>
      <c r="BC24" s="187"/>
      <c r="BD24" s="195" t="s">
        <v>461</v>
      </c>
      <c r="BE24" s="3"/>
    </row>
    <row r="25" spans="1:57" x14ac:dyDescent="0.25">
      <c r="A25" s="24" t="s">
        <v>241</v>
      </c>
      <c r="B25" s="23" t="s">
        <v>242</v>
      </c>
      <c r="C25" s="23" t="s">
        <v>278</v>
      </c>
      <c r="D25" s="38" t="s">
        <v>352</v>
      </c>
      <c r="E25" s="23" t="s">
        <v>245</v>
      </c>
      <c r="F25" s="23">
        <v>2023</v>
      </c>
      <c r="G25" s="23" t="s">
        <v>281</v>
      </c>
      <c r="H25" s="23" t="s">
        <v>57</v>
      </c>
      <c r="I25" s="23" t="s">
        <v>31</v>
      </c>
      <c r="J25" s="23" t="s">
        <v>246</v>
      </c>
      <c r="K25" s="23" t="s">
        <v>31</v>
      </c>
      <c r="L25" s="23">
        <v>2</v>
      </c>
      <c r="M25" s="29">
        <v>1500</v>
      </c>
      <c r="N25" s="132">
        <v>0</v>
      </c>
      <c r="O25" s="23" t="s">
        <v>31</v>
      </c>
      <c r="P25" s="23">
        <v>0</v>
      </c>
      <c r="Q25" s="217" t="s">
        <v>458</v>
      </c>
      <c r="R25" s="126">
        <v>0</v>
      </c>
      <c r="S25" s="23" t="s">
        <v>247</v>
      </c>
      <c r="T25" s="23" t="s">
        <v>279</v>
      </c>
      <c r="U25" s="23" t="s">
        <v>31</v>
      </c>
      <c r="V25" s="23" t="s">
        <v>31</v>
      </c>
      <c r="W25" s="23" t="s">
        <v>31</v>
      </c>
      <c r="X25" s="23" t="s">
        <v>31</v>
      </c>
      <c r="Y25" s="23" t="s">
        <v>31</v>
      </c>
      <c r="Z25" s="23" t="s">
        <v>31</v>
      </c>
      <c r="AA25" s="23" t="s">
        <v>31</v>
      </c>
      <c r="AB25" s="23" t="s">
        <v>280</v>
      </c>
      <c r="AC25" s="187" t="s">
        <v>487</v>
      </c>
      <c r="AD25" s="187" t="s">
        <v>448</v>
      </c>
      <c r="AE25" s="187" t="s">
        <v>402</v>
      </c>
      <c r="AF25" s="187"/>
      <c r="AG25" s="187"/>
      <c r="AH25" s="123" t="s">
        <v>461</v>
      </c>
      <c r="AI25" s="187"/>
      <c r="AJ25" s="196"/>
      <c r="AK25" s="120">
        <v>0</v>
      </c>
      <c r="AL25" s="187"/>
      <c r="AM25" s="121">
        <v>870.73170731707319</v>
      </c>
      <c r="AN25" s="187"/>
      <c r="AO25" s="187"/>
      <c r="AP25" s="125" t="s">
        <v>461</v>
      </c>
      <c r="AQ25" s="187"/>
      <c r="AR25" s="187"/>
      <c r="AS25" s="122" t="s">
        <v>461</v>
      </c>
      <c r="AT25" s="187"/>
      <c r="AU25" s="187"/>
      <c r="AV25" s="122" t="s">
        <v>461</v>
      </c>
      <c r="AW25" s="187"/>
      <c r="AX25" s="187"/>
      <c r="AY25" s="122" t="s">
        <v>461</v>
      </c>
      <c r="AZ25" s="187"/>
      <c r="BA25" s="187"/>
      <c r="BB25" s="187" t="s">
        <v>461</v>
      </c>
      <c r="BC25" s="187"/>
      <c r="BD25" s="195" t="s">
        <v>461</v>
      </c>
      <c r="BE25" s="3"/>
    </row>
    <row r="26" spans="1:57" x14ac:dyDescent="0.25">
      <c r="A26" s="21" t="s">
        <v>241</v>
      </c>
      <c r="B26" s="22" t="s">
        <v>242</v>
      </c>
      <c r="C26" s="22" t="s">
        <v>243</v>
      </c>
      <c r="D26" s="38" t="s">
        <v>352</v>
      </c>
      <c r="E26" s="22" t="s">
        <v>245</v>
      </c>
      <c r="F26" s="22">
        <v>2023</v>
      </c>
      <c r="G26" s="22" t="s">
        <v>283</v>
      </c>
      <c r="H26" s="22" t="s">
        <v>57</v>
      </c>
      <c r="I26" s="23" t="s">
        <v>31</v>
      </c>
      <c r="J26" s="22" t="s">
        <v>275</v>
      </c>
      <c r="K26" s="22">
        <v>2</v>
      </c>
      <c r="L26" s="22">
        <v>2</v>
      </c>
      <c r="M26" s="54">
        <v>3800</v>
      </c>
      <c r="N26" s="136">
        <v>0</v>
      </c>
      <c r="O26" s="23" t="s">
        <v>31</v>
      </c>
      <c r="P26" s="23">
        <v>0</v>
      </c>
      <c r="Q26" s="217" t="s">
        <v>458</v>
      </c>
      <c r="R26" s="126">
        <v>0</v>
      </c>
      <c r="S26" s="22" t="s">
        <v>247</v>
      </c>
      <c r="T26" s="22" t="s">
        <v>276</v>
      </c>
      <c r="U26" s="22" t="s">
        <v>31</v>
      </c>
      <c r="V26" s="22" t="s">
        <v>31</v>
      </c>
      <c r="W26" s="22" t="s">
        <v>31</v>
      </c>
      <c r="X26" s="22" t="s">
        <v>31</v>
      </c>
      <c r="Y26" s="22" t="s">
        <v>31</v>
      </c>
      <c r="Z26" s="22" t="s">
        <v>31</v>
      </c>
      <c r="AA26" s="23" t="s">
        <v>31</v>
      </c>
      <c r="AB26" s="22" t="s">
        <v>277</v>
      </c>
      <c r="AC26" s="187" t="s">
        <v>488</v>
      </c>
      <c r="AD26" s="187" t="s">
        <v>473</v>
      </c>
      <c r="AE26" s="187" t="s">
        <v>402</v>
      </c>
      <c r="AF26" s="187"/>
      <c r="AG26" s="187"/>
      <c r="AH26" s="123" t="s">
        <v>461</v>
      </c>
      <c r="AI26" s="187"/>
      <c r="AJ26" s="196"/>
      <c r="AK26" s="120">
        <v>0</v>
      </c>
      <c r="AL26" s="196">
        <v>1</v>
      </c>
      <c r="AM26" s="121">
        <v>870.73170731707319</v>
      </c>
      <c r="AN26" s="187"/>
      <c r="AO26" s="187"/>
      <c r="AP26" s="125" t="s">
        <v>461</v>
      </c>
      <c r="AQ26" s="187"/>
      <c r="AR26" s="187"/>
      <c r="AS26" s="122" t="s">
        <v>461</v>
      </c>
      <c r="AT26" s="187"/>
      <c r="AU26" s="187"/>
      <c r="AV26" s="122" t="s">
        <v>461</v>
      </c>
      <c r="AW26" s="187"/>
      <c r="AX26" s="187"/>
      <c r="AY26" s="122" t="s">
        <v>461</v>
      </c>
      <c r="AZ26" s="187"/>
      <c r="BA26" s="187"/>
      <c r="BB26" s="187" t="s">
        <v>461</v>
      </c>
      <c r="BC26" s="187"/>
      <c r="BD26" s="195" t="s">
        <v>461</v>
      </c>
      <c r="BE26" s="3"/>
    </row>
    <row r="27" spans="1:57" x14ac:dyDescent="0.25">
      <c r="A27" s="24" t="s">
        <v>241</v>
      </c>
      <c r="B27" s="23" t="s">
        <v>242</v>
      </c>
      <c r="C27" s="23" t="s">
        <v>278</v>
      </c>
      <c r="D27" s="38" t="s">
        <v>352</v>
      </c>
      <c r="E27" s="23" t="s">
        <v>245</v>
      </c>
      <c r="F27" s="23">
        <v>2023</v>
      </c>
      <c r="G27" s="150" t="s">
        <v>283</v>
      </c>
      <c r="H27" s="23" t="s">
        <v>57</v>
      </c>
      <c r="I27" s="27" t="s">
        <v>31</v>
      </c>
      <c r="J27" s="23" t="s">
        <v>246</v>
      </c>
      <c r="K27" s="23" t="s">
        <v>31</v>
      </c>
      <c r="L27" s="23">
        <v>2</v>
      </c>
      <c r="M27" s="29">
        <v>1500</v>
      </c>
      <c r="N27" s="132">
        <v>0</v>
      </c>
      <c r="O27" s="23" t="s">
        <v>31</v>
      </c>
      <c r="P27" s="23">
        <v>0</v>
      </c>
      <c r="Q27" s="217" t="s">
        <v>458</v>
      </c>
      <c r="R27" s="126">
        <v>0</v>
      </c>
      <c r="S27" s="23" t="s">
        <v>247</v>
      </c>
      <c r="T27" s="23" t="s">
        <v>279</v>
      </c>
      <c r="U27" s="23" t="s">
        <v>31</v>
      </c>
      <c r="V27" s="23" t="s">
        <v>31</v>
      </c>
      <c r="W27" s="23" t="s">
        <v>31</v>
      </c>
      <c r="X27" s="23" t="s">
        <v>31</v>
      </c>
      <c r="Y27" s="23" t="s">
        <v>31</v>
      </c>
      <c r="Z27" s="23" t="s">
        <v>31</v>
      </c>
      <c r="AA27" s="23" t="s">
        <v>31</v>
      </c>
      <c r="AB27" s="23" t="s">
        <v>280</v>
      </c>
      <c r="AC27" s="187" t="s">
        <v>489</v>
      </c>
      <c r="AD27" s="187" t="s">
        <v>473</v>
      </c>
      <c r="AE27" s="187" t="s">
        <v>460</v>
      </c>
      <c r="AF27" s="187"/>
      <c r="AG27" s="187"/>
      <c r="AH27" s="123" t="s">
        <v>461</v>
      </c>
      <c r="AI27" s="187"/>
      <c r="AJ27" s="196"/>
      <c r="AK27" s="120">
        <v>0</v>
      </c>
      <c r="AL27" s="187"/>
      <c r="AM27" s="121">
        <v>870.73170731707319</v>
      </c>
      <c r="AN27" s="187"/>
      <c r="AO27" s="187"/>
      <c r="AP27" s="125" t="s">
        <v>461</v>
      </c>
      <c r="AQ27" s="187">
        <v>1</v>
      </c>
      <c r="AR27" s="187">
        <v>500</v>
      </c>
      <c r="AS27" s="123">
        <v>12457.487804878048</v>
      </c>
      <c r="AT27" s="187">
        <v>1</v>
      </c>
      <c r="AU27" s="187">
        <v>1400</v>
      </c>
      <c r="AV27" s="122">
        <v>23441.646341463416</v>
      </c>
      <c r="AW27" s="187"/>
      <c r="AX27" s="187"/>
      <c r="AY27" s="122" t="s">
        <v>461</v>
      </c>
      <c r="AZ27" s="187"/>
      <c r="BA27" s="187"/>
      <c r="BB27" s="187" t="s">
        <v>461</v>
      </c>
      <c r="BC27" s="187"/>
      <c r="BD27" s="195" t="s">
        <v>461</v>
      </c>
      <c r="BE27" s="3"/>
    </row>
    <row r="28" spans="1:57" x14ac:dyDescent="0.25">
      <c r="A28" s="24" t="s">
        <v>241</v>
      </c>
      <c r="B28" s="23" t="s">
        <v>242</v>
      </c>
      <c r="C28" s="23" t="s">
        <v>243</v>
      </c>
      <c r="D28" s="38" t="s">
        <v>352</v>
      </c>
      <c r="E28" s="23" t="s">
        <v>245</v>
      </c>
      <c r="F28" s="23">
        <v>2023</v>
      </c>
      <c r="G28" s="23" t="s">
        <v>104</v>
      </c>
      <c r="H28" s="23" t="s">
        <v>57</v>
      </c>
      <c r="I28" s="23" t="s">
        <v>31</v>
      </c>
      <c r="J28" s="23" t="s">
        <v>275</v>
      </c>
      <c r="K28" s="23">
        <v>2</v>
      </c>
      <c r="L28" s="23">
        <v>2</v>
      </c>
      <c r="M28" s="29">
        <v>3800</v>
      </c>
      <c r="N28" s="132">
        <v>0</v>
      </c>
      <c r="O28" s="23" t="s">
        <v>31</v>
      </c>
      <c r="P28" s="23">
        <v>0</v>
      </c>
      <c r="Q28" s="217" t="s">
        <v>458</v>
      </c>
      <c r="R28" s="126">
        <v>0</v>
      </c>
      <c r="S28" s="23" t="s">
        <v>247</v>
      </c>
      <c r="T28" s="23" t="s">
        <v>276</v>
      </c>
      <c r="U28" s="23" t="s">
        <v>31</v>
      </c>
      <c r="V28" s="23" t="s">
        <v>31</v>
      </c>
      <c r="W28" s="23" t="s">
        <v>31</v>
      </c>
      <c r="X28" s="23" t="s">
        <v>31</v>
      </c>
      <c r="Y28" s="23" t="s">
        <v>31</v>
      </c>
      <c r="Z28" s="23" t="s">
        <v>31</v>
      </c>
      <c r="AA28" s="23" t="s">
        <v>31</v>
      </c>
      <c r="AB28" s="23" t="s">
        <v>277</v>
      </c>
      <c r="AC28" s="187" t="s">
        <v>472</v>
      </c>
      <c r="AD28" s="187" t="s">
        <v>473</v>
      </c>
      <c r="AE28" s="187" t="s">
        <v>402</v>
      </c>
      <c r="AF28" s="187"/>
      <c r="AG28" s="187"/>
      <c r="AH28" s="123" t="s">
        <v>461</v>
      </c>
      <c r="AI28" s="187"/>
      <c r="AJ28" s="196"/>
      <c r="AK28" s="120">
        <v>0</v>
      </c>
      <c r="AL28" s="196">
        <v>1</v>
      </c>
      <c r="AM28" s="121">
        <v>870.73170731707319</v>
      </c>
      <c r="AN28" s="187"/>
      <c r="AO28" s="187"/>
      <c r="AP28" s="125" t="s">
        <v>461</v>
      </c>
      <c r="AQ28" s="187"/>
      <c r="AR28" s="187"/>
      <c r="AS28" s="122" t="s">
        <v>461</v>
      </c>
      <c r="AT28" s="187"/>
      <c r="AU28" s="187"/>
      <c r="AV28" s="122" t="s">
        <v>461</v>
      </c>
      <c r="AW28" s="187"/>
      <c r="AX28" s="187"/>
      <c r="AY28" s="122" t="s">
        <v>461</v>
      </c>
      <c r="AZ28" s="187"/>
      <c r="BA28" s="187"/>
      <c r="BB28" s="187" t="s">
        <v>461</v>
      </c>
      <c r="BC28" s="187"/>
      <c r="BD28" s="195" t="s">
        <v>461</v>
      </c>
      <c r="BE28" s="3"/>
    </row>
    <row r="29" spans="1:57" x14ac:dyDescent="0.25">
      <c r="A29" s="24" t="s">
        <v>241</v>
      </c>
      <c r="B29" s="23" t="s">
        <v>242</v>
      </c>
      <c r="C29" s="23" t="s">
        <v>278</v>
      </c>
      <c r="D29" s="38" t="s">
        <v>352</v>
      </c>
      <c r="E29" s="23" t="s">
        <v>245</v>
      </c>
      <c r="F29" s="23">
        <v>2023</v>
      </c>
      <c r="G29" s="23" t="s">
        <v>104</v>
      </c>
      <c r="H29" s="23" t="s">
        <v>57</v>
      </c>
      <c r="I29" s="23" t="s">
        <v>31</v>
      </c>
      <c r="J29" s="23" t="s">
        <v>246</v>
      </c>
      <c r="K29" s="23" t="s">
        <v>31</v>
      </c>
      <c r="L29" s="23">
        <v>2</v>
      </c>
      <c r="M29" s="29">
        <v>3300</v>
      </c>
      <c r="N29" s="132">
        <v>0</v>
      </c>
      <c r="O29" s="23" t="s">
        <v>31</v>
      </c>
      <c r="P29" s="23">
        <v>0</v>
      </c>
      <c r="Q29" s="217" t="s">
        <v>458</v>
      </c>
      <c r="R29" s="126">
        <v>0</v>
      </c>
      <c r="S29" s="23" t="s">
        <v>247</v>
      </c>
      <c r="T29" s="23" t="s">
        <v>276</v>
      </c>
      <c r="U29" s="23" t="s">
        <v>31</v>
      </c>
      <c r="V29" s="23" t="s">
        <v>31</v>
      </c>
      <c r="W29" s="23" t="s">
        <v>31</v>
      </c>
      <c r="X29" s="23" t="s">
        <v>31</v>
      </c>
      <c r="Y29" s="23" t="s">
        <v>31</v>
      </c>
      <c r="Z29" s="23" t="s">
        <v>31</v>
      </c>
      <c r="AA29" s="23" t="s">
        <v>31</v>
      </c>
      <c r="AB29" s="23" t="s">
        <v>284</v>
      </c>
      <c r="AC29" s="187" t="s">
        <v>472</v>
      </c>
      <c r="AD29" s="187" t="s">
        <v>473</v>
      </c>
      <c r="AE29" s="187" t="s">
        <v>402</v>
      </c>
      <c r="AF29" s="187"/>
      <c r="AG29" s="187"/>
      <c r="AH29" s="123" t="s">
        <v>461</v>
      </c>
      <c r="AI29" s="187"/>
      <c r="AJ29" s="196"/>
      <c r="AK29" s="120">
        <v>0</v>
      </c>
      <c r="AL29" s="187"/>
      <c r="AM29" s="121">
        <v>870.73170731707319</v>
      </c>
      <c r="AN29" s="187"/>
      <c r="AO29" s="187"/>
      <c r="AP29" s="125" t="s">
        <v>461</v>
      </c>
      <c r="AQ29" s="187"/>
      <c r="AR29" s="187"/>
      <c r="AS29" s="122" t="s">
        <v>461</v>
      </c>
      <c r="AT29" s="187"/>
      <c r="AU29" s="187"/>
      <c r="AV29" s="122" t="s">
        <v>461</v>
      </c>
      <c r="AW29" s="187"/>
      <c r="AX29" s="187"/>
      <c r="AY29" s="122" t="s">
        <v>461</v>
      </c>
      <c r="AZ29" s="187"/>
      <c r="BA29" s="187"/>
      <c r="BB29" s="187" t="s">
        <v>461</v>
      </c>
      <c r="BC29" s="187"/>
      <c r="BD29" s="195" t="s">
        <v>461</v>
      </c>
      <c r="BE29" s="3"/>
    </row>
    <row r="30" spans="1:57" x14ac:dyDescent="0.25">
      <c r="A30" s="24" t="s">
        <v>241</v>
      </c>
      <c r="B30" s="23" t="s">
        <v>242</v>
      </c>
      <c r="C30" s="23" t="s">
        <v>243</v>
      </c>
      <c r="D30" s="38" t="s">
        <v>352</v>
      </c>
      <c r="E30" s="23" t="s">
        <v>245</v>
      </c>
      <c r="F30" s="23">
        <v>2023</v>
      </c>
      <c r="G30" s="23" t="s">
        <v>349</v>
      </c>
      <c r="H30" s="23" t="s">
        <v>57</v>
      </c>
      <c r="I30" s="23" t="s">
        <v>31</v>
      </c>
      <c r="J30" s="23" t="s">
        <v>246</v>
      </c>
      <c r="K30" s="23">
        <v>0</v>
      </c>
      <c r="L30" s="23">
        <v>0</v>
      </c>
      <c r="M30" s="23">
        <v>400</v>
      </c>
      <c r="N30" s="131">
        <v>0</v>
      </c>
      <c r="O30" s="23" t="s">
        <v>31</v>
      </c>
      <c r="P30" s="23">
        <v>0</v>
      </c>
      <c r="Q30" s="217" t="s">
        <v>458</v>
      </c>
      <c r="R30" s="126">
        <v>0</v>
      </c>
      <c r="S30" s="23" t="s">
        <v>247</v>
      </c>
      <c r="T30" s="23" t="s">
        <v>248</v>
      </c>
      <c r="U30" s="23" t="s">
        <v>31</v>
      </c>
      <c r="V30" s="23" t="s">
        <v>31</v>
      </c>
      <c r="W30" s="23" t="s">
        <v>31</v>
      </c>
      <c r="X30" s="23" t="s">
        <v>31</v>
      </c>
      <c r="Y30" s="23" t="s">
        <v>31</v>
      </c>
      <c r="Z30" s="23" t="s">
        <v>31</v>
      </c>
      <c r="AA30" s="23" t="s">
        <v>31</v>
      </c>
      <c r="AB30" s="23" t="s">
        <v>269</v>
      </c>
      <c r="AC30" s="187" t="s">
        <v>490</v>
      </c>
      <c r="AD30" s="187" t="s">
        <v>448</v>
      </c>
      <c r="AE30" s="187" t="s">
        <v>402</v>
      </c>
      <c r="AF30" s="187"/>
      <c r="AG30" s="187"/>
      <c r="AH30" s="123" t="s">
        <v>461</v>
      </c>
      <c r="AI30" s="187"/>
      <c r="AJ30" s="196"/>
      <c r="AK30" s="120">
        <v>0</v>
      </c>
      <c r="AL30" s="196">
        <v>0</v>
      </c>
      <c r="AM30" s="121">
        <v>0</v>
      </c>
      <c r="AN30" s="187" t="s">
        <v>491</v>
      </c>
      <c r="AO30" s="187">
        <v>1</v>
      </c>
      <c r="AP30" s="125">
        <v>1219.5121951219512</v>
      </c>
      <c r="AQ30" s="187"/>
      <c r="AR30" s="187"/>
      <c r="AS30" s="122" t="s">
        <v>461</v>
      </c>
      <c r="AT30" s="187">
        <v>2</v>
      </c>
      <c r="AU30" s="187">
        <v>100</v>
      </c>
      <c r="AV30" s="122">
        <v>4655.1219512195121</v>
      </c>
      <c r="AW30" s="187"/>
      <c r="AX30" s="187"/>
      <c r="AY30" s="122" t="s">
        <v>461</v>
      </c>
      <c r="AZ30" s="187"/>
      <c r="BA30" s="187"/>
      <c r="BB30" s="187" t="s">
        <v>461</v>
      </c>
      <c r="BC30" s="187"/>
      <c r="BD30" s="195" t="s">
        <v>461</v>
      </c>
      <c r="BE30" s="3"/>
    </row>
    <row r="31" spans="1:57" x14ac:dyDescent="0.25">
      <c r="A31" s="24" t="s">
        <v>241</v>
      </c>
      <c r="B31" s="23" t="s">
        <v>242</v>
      </c>
      <c r="C31" s="23" t="s">
        <v>243</v>
      </c>
      <c r="D31" s="38" t="s">
        <v>352</v>
      </c>
      <c r="E31" s="23" t="s">
        <v>245</v>
      </c>
      <c r="F31" s="23">
        <v>2023</v>
      </c>
      <c r="G31" s="150" t="s">
        <v>287</v>
      </c>
      <c r="H31" s="23" t="s">
        <v>57</v>
      </c>
      <c r="I31" s="23" t="s">
        <v>31</v>
      </c>
      <c r="J31" s="23" t="s">
        <v>275</v>
      </c>
      <c r="K31" s="23">
        <v>2</v>
      </c>
      <c r="L31" s="23">
        <v>2</v>
      </c>
      <c r="M31" s="29">
        <v>3800</v>
      </c>
      <c r="N31" s="129">
        <v>0</v>
      </c>
      <c r="O31" s="23" t="s">
        <v>31</v>
      </c>
      <c r="P31" s="23">
        <v>0</v>
      </c>
      <c r="Q31" s="217" t="s">
        <v>458</v>
      </c>
      <c r="R31" s="126">
        <v>0</v>
      </c>
      <c r="S31" s="23" t="s">
        <v>247</v>
      </c>
      <c r="T31" s="23" t="s">
        <v>276</v>
      </c>
      <c r="U31" s="23" t="s">
        <v>31</v>
      </c>
      <c r="V31" s="23" t="s">
        <v>31</v>
      </c>
      <c r="W31" s="23" t="s">
        <v>31</v>
      </c>
      <c r="X31" s="23" t="s">
        <v>31</v>
      </c>
      <c r="Y31" s="23" t="s">
        <v>31</v>
      </c>
      <c r="Z31" s="23" t="s">
        <v>31</v>
      </c>
      <c r="AA31" s="23" t="s">
        <v>31</v>
      </c>
      <c r="AB31" s="23" t="s">
        <v>277</v>
      </c>
      <c r="AC31" s="187" t="s">
        <v>492</v>
      </c>
      <c r="AD31" s="187" t="s">
        <v>448</v>
      </c>
      <c r="AE31" s="187" t="s">
        <v>493</v>
      </c>
      <c r="AF31" s="187"/>
      <c r="AG31" s="187"/>
      <c r="AH31" s="123" t="s">
        <v>461</v>
      </c>
      <c r="AI31" s="187"/>
      <c r="AJ31" s="196"/>
      <c r="AK31" s="120">
        <v>0</v>
      </c>
      <c r="AL31" s="196">
        <v>1</v>
      </c>
      <c r="AM31" s="121">
        <v>870.73170731707319</v>
      </c>
      <c r="AN31" s="187"/>
      <c r="AO31" s="187"/>
      <c r="AP31" s="125" t="s">
        <v>461</v>
      </c>
      <c r="AQ31" s="187">
        <v>1</v>
      </c>
      <c r="AR31" s="187">
        <v>312</v>
      </c>
      <c r="AS31" s="122">
        <v>12457.487804878048</v>
      </c>
      <c r="AT31" s="187">
        <v>2</v>
      </c>
      <c r="AU31" s="187">
        <v>200</v>
      </c>
      <c r="AV31" s="122">
        <v>18302.590118824268</v>
      </c>
      <c r="AW31" s="187"/>
      <c r="AX31" s="187"/>
      <c r="AY31" s="122" t="s">
        <v>461</v>
      </c>
      <c r="AZ31" s="187"/>
      <c r="BA31" s="187"/>
      <c r="BB31" s="187" t="s">
        <v>461</v>
      </c>
      <c r="BC31" s="187"/>
      <c r="BD31" s="195" t="s">
        <v>461</v>
      </c>
      <c r="BE31" s="3"/>
    </row>
    <row r="32" spans="1:57" x14ac:dyDescent="0.25">
      <c r="A32" s="24" t="s">
        <v>241</v>
      </c>
      <c r="B32" s="23" t="s">
        <v>242</v>
      </c>
      <c r="C32" s="23" t="s">
        <v>278</v>
      </c>
      <c r="D32" s="38" t="s">
        <v>352</v>
      </c>
      <c r="E32" s="23" t="s">
        <v>245</v>
      </c>
      <c r="F32" s="23">
        <v>2023</v>
      </c>
      <c r="G32" s="23" t="s">
        <v>287</v>
      </c>
      <c r="H32" s="23" t="s">
        <v>57</v>
      </c>
      <c r="I32" s="23" t="s">
        <v>31</v>
      </c>
      <c r="J32" s="23" t="s">
        <v>246</v>
      </c>
      <c r="K32" s="23" t="s">
        <v>31</v>
      </c>
      <c r="L32" s="23">
        <v>2</v>
      </c>
      <c r="M32" s="29">
        <v>1500</v>
      </c>
      <c r="N32" s="129">
        <v>0</v>
      </c>
      <c r="O32" s="23" t="s">
        <v>31</v>
      </c>
      <c r="P32" s="23">
        <v>0</v>
      </c>
      <c r="Q32" s="217" t="s">
        <v>458</v>
      </c>
      <c r="R32" s="126">
        <v>0</v>
      </c>
      <c r="S32" s="23" t="s">
        <v>247</v>
      </c>
      <c r="T32" s="23" t="s">
        <v>279</v>
      </c>
      <c r="U32" s="23" t="s">
        <v>31</v>
      </c>
      <c r="V32" s="23" t="s">
        <v>31</v>
      </c>
      <c r="W32" s="23" t="s">
        <v>31</v>
      </c>
      <c r="X32" s="23" t="s">
        <v>31</v>
      </c>
      <c r="Y32" s="23" t="s">
        <v>31</v>
      </c>
      <c r="Z32" s="23" t="s">
        <v>31</v>
      </c>
      <c r="AA32" s="23" t="s">
        <v>31</v>
      </c>
      <c r="AB32" s="23" t="s">
        <v>280</v>
      </c>
      <c r="AC32" s="187" t="s">
        <v>487</v>
      </c>
      <c r="AD32" s="187" t="s">
        <v>448</v>
      </c>
      <c r="AE32" s="187" t="s">
        <v>402</v>
      </c>
      <c r="AF32" s="187"/>
      <c r="AG32" s="187"/>
      <c r="AH32" s="123" t="s">
        <v>461</v>
      </c>
      <c r="AI32" s="187"/>
      <c r="AJ32" s="196"/>
      <c r="AK32" s="120">
        <v>0</v>
      </c>
      <c r="AL32" s="187"/>
      <c r="AM32" s="121">
        <v>870.73170731707319</v>
      </c>
      <c r="AN32" s="187"/>
      <c r="AO32" s="187"/>
      <c r="AP32" s="125" t="s">
        <v>461</v>
      </c>
      <c r="AQ32" s="187"/>
      <c r="AR32" s="187"/>
      <c r="AS32" s="122" t="s">
        <v>461</v>
      </c>
      <c r="AT32" s="187"/>
      <c r="AU32" s="187"/>
      <c r="AV32" s="122" t="s">
        <v>461</v>
      </c>
      <c r="AW32" s="187"/>
      <c r="AX32" s="187"/>
      <c r="AY32" s="122" t="s">
        <v>461</v>
      </c>
      <c r="AZ32" s="187"/>
      <c r="BA32" s="187"/>
      <c r="BB32" s="187" t="s">
        <v>461</v>
      </c>
      <c r="BC32" s="187"/>
      <c r="BD32" s="195" t="s">
        <v>461</v>
      </c>
      <c r="BE32" s="3"/>
    </row>
    <row r="33" spans="1:57" x14ac:dyDescent="0.25">
      <c r="A33" s="24" t="s">
        <v>241</v>
      </c>
      <c r="B33" s="23" t="s">
        <v>242</v>
      </c>
      <c r="C33" s="23" t="s">
        <v>243</v>
      </c>
      <c r="D33" s="38" t="s">
        <v>352</v>
      </c>
      <c r="E33" s="23" t="s">
        <v>245</v>
      </c>
      <c r="F33" s="23">
        <v>2023</v>
      </c>
      <c r="G33" s="23" t="s">
        <v>290</v>
      </c>
      <c r="H33" s="23" t="s">
        <v>57</v>
      </c>
      <c r="I33" s="23" t="s">
        <v>31</v>
      </c>
      <c r="J33" s="23" t="s">
        <v>275</v>
      </c>
      <c r="K33" s="23">
        <v>2</v>
      </c>
      <c r="L33" s="23">
        <v>2</v>
      </c>
      <c r="M33" s="29">
        <v>3800</v>
      </c>
      <c r="N33" s="129">
        <v>0</v>
      </c>
      <c r="O33" s="23" t="s">
        <v>31</v>
      </c>
      <c r="P33" s="23">
        <v>0</v>
      </c>
      <c r="Q33" s="217" t="s">
        <v>458</v>
      </c>
      <c r="R33" s="126">
        <v>0</v>
      </c>
      <c r="S33" s="23" t="s">
        <v>247</v>
      </c>
      <c r="T33" s="23" t="s">
        <v>276</v>
      </c>
      <c r="U33" s="23" t="s">
        <v>31</v>
      </c>
      <c r="V33" s="23" t="s">
        <v>31</v>
      </c>
      <c r="W33" s="23" t="s">
        <v>31</v>
      </c>
      <c r="X33" s="23" t="s">
        <v>31</v>
      </c>
      <c r="Y33" s="23" t="s">
        <v>31</v>
      </c>
      <c r="Z33" s="23" t="s">
        <v>31</v>
      </c>
      <c r="AA33" s="23" t="s">
        <v>31</v>
      </c>
      <c r="AB33" s="23" t="s">
        <v>277</v>
      </c>
      <c r="AC33" s="187" t="s">
        <v>449</v>
      </c>
      <c r="AD33" s="187" t="s">
        <v>448</v>
      </c>
      <c r="AE33" s="187" t="s">
        <v>403</v>
      </c>
      <c r="AF33" s="187"/>
      <c r="AG33" s="187"/>
      <c r="AH33" s="123" t="s">
        <v>461</v>
      </c>
      <c r="AI33" s="187"/>
      <c r="AJ33" s="196"/>
      <c r="AK33" s="120">
        <v>0</v>
      </c>
      <c r="AL33" s="196">
        <v>0</v>
      </c>
      <c r="AM33" s="121">
        <v>0</v>
      </c>
      <c r="AN33" s="187"/>
      <c r="AO33" s="187"/>
      <c r="AP33" s="125" t="s">
        <v>461</v>
      </c>
      <c r="AQ33" s="187"/>
      <c r="AR33" s="187"/>
      <c r="AS33" s="122" t="s">
        <v>461</v>
      </c>
      <c r="AT33" s="187"/>
      <c r="AU33" s="187"/>
      <c r="AV33" s="122" t="s">
        <v>461</v>
      </c>
      <c r="AW33" s="187"/>
      <c r="AX33" s="187"/>
      <c r="AY33" s="122" t="s">
        <v>461</v>
      </c>
      <c r="AZ33" s="187"/>
      <c r="BA33" s="187"/>
      <c r="BB33" s="187" t="s">
        <v>461</v>
      </c>
      <c r="BC33" s="187"/>
      <c r="BD33" s="195" t="s">
        <v>461</v>
      </c>
      <c r="BE33" s="3"/>
    </row>
    <row r="34" spans="1:57" x14ac:dyDescent="0.25">
      <c r="A34" s="24" t="s">
        <v>241</v>
      </c>
      <c r="B34" s="23" t="s">
        <v>242</v>
      </c>
      <c r="C34" s="23" t="s">
        <v>278</v>
      </c>
      <c r="D34" s="38" t="s">
        <v>352</v>
      </c>
      <c r="E34" s="23" t="s">
        <v>245</v>
      </c>
      <c r="F34" s="23">
        <v>2023</v>
      </c>
      <c r="G34" s="23" t="s">
        <v>290</v>
      </c>
      <c r="H34" s="23" t="s">
        <v>57</v>
      </c>
      <c r="I34" s="23" t="s">
        <v>31</v>
      </c>
      <c r="J34" s="23" t="s">
        <v>246</v>
      </c>
      <c r="K34" s="23" t="s">
        <v>31</v>
      </c>
      <c r="L34" s="23">
        <v>2</v>
      </c>
      <c r="M34" s="29">
        <v>3300</v>
      </c>
      <c r="N34" s="129">
        <v>0</v>
      </c>
      <c r="O34" s="23" t="s">
        <v>31</v>
      </c>
      <c r="P34" s="23">
        <v>0</v>
      </c>
      <c r="Q34" s="217" t="s">
        <v>458</v>
      </c>
      <c r="R34" s="126">
        <v>0</v>
      </c>
      <c r="S34" s="23" t="s">
        <v>247</v>
      </c>
      <c r="T34" s="23" t="s">
        <v>276</v>
      </c>
      <c r="U34" s="23" t="s">
        <v>31</v>
      </c>
      <c r="V34" s="23" t="s">
        <v>31</v>
      </c>
      <c r="W34" s="23" t="s">
        <v>31</v>
      </c>
      <c r="X34" s="23" t="s">
        <v>31</v>
      </c>
      <c r="Y34" s="23" t="s">
        <v>31</v>
      </c>
      <c r="Z34" s="23" t="s">
        <v>31</v>
      </c>
      <c r="AA34" s="23" t="s">
        <v>31</v>
      </c>
      <c r="AB34" s="23" t="s">
        <v>284</v>
      </c>
      <c r="AC34" s="187" t="s">
        <v>487</v>
      </c>
      <c r="AD34" s="187" t="s">
        <v>448</v>
      </c>
      <c r="AE34" s="187" t="s">
        <v>402</v>
      </c>
      <c r="AF34" s="187"/>
      <c r="AG34" s="187"/>
      <c r="AH34" s="123" t="s">
        <v>461</v>
      </c>
      <c r="AI34" s="187"/>
      <c r="AJ34" s="196"/>
      <c r="AK34" s="120">
        <v>0</v>
      </c>
      <c r="AL34" s="187"/>
      <c r="AM34" s="121">
        <v>870.73170731707319</v>
      </c>
      <c r="AN34" s="187"/>
      <c r="AO34" s="187"/>
      <c r="AP34" s="125" t="s">
        <v>461</v>
      </c>
      <c r="AQ34" s="187"/>
      <c r="AR34" s="187"/>
      <c r="AS34" s="122" t="s">
        <v>461</v>
      </c>
      <c r="AT34" s="187"/>
      <c r="AU34" s="187"/>
      <c r="AV34" s="122" t="s">
        <v>461</v>
      </c>
      <c r="AW34" s="187"/>
      <c r="AX34" s="187"/>
      <c r="AY34" s="122" t="s">
        <v>461</v>
      </c>
      <c r="AZ34" s="187"/>
      <c r="BA34" s="187"/>
      <c r="BB34" s="187" t="s">
        <v>461</v>
      </c>
      <c r="BC34" s="187"/>
      <c r="BD34" s="195" t="s">
        <v>461</v>
      </c>
      <c r="BE34" s="3"/>
    </row>
    <row r="35" spans="1:57" x14ac:dyDescent="0.25">
      <c r="A35" s="37" t="s">
        <v>24</v>
      </c>
      <c r="B35" s="38" t="s">
        <v>25</v>
      </c>
      <c r="C35" s="38" t="s">
        <v>26</v>
      </c>
      <c r="D35" s="38" t="s">
        <v>91</v>
      </c>
      <c r="E35" s="38" t="s">
        <v>28</v>
      </c>
      <c r="F35" s="38">
        <v>2023</v>
      </c>
      <c r="G35" s="84" t="s">
        <v>50</v>
      </c>
      <c r="H35" s="24" t="s">
        <v>51</v>
      </c>
      <c r="I35" s="23" t="s">
        <v>31</v>
      </c>
      <c r="J35" s="38" t="s">
        <v>32</v>
      </c>
      <c r="K35" s="23">
        <v>2</v>
      </c>
      <c r="L35" s="23">
        <v>1</v>
      </c>
      <c r="M35" s="23">
        <v>842</v>
      </c>
      <c r="N35" s="132">
        <v>0</v>
      </c>
      <c r="O35" s="23" t="s">
        <v>31</v>
      </c>
      <c r="P35" s="23">
        <v>0</v>
      </c>
      <c r="Q35" s="217" t="s">
        <v>458</v>
      </c>
      <c r="R35" s="126">
        <v>0</v>
      </c>
      <c r="S35" s="38" t="s">
        <v>33</v>
      </c>
      <c r="T35" s="38" t="s">
        <v>31</v>
      </c>
      <c r="U35" s="38">
        <v>2</v>
      </c>
      <c r="V35" s="23">
        <v>0</v>
      </c>
      <c r="W35" s="23">
        <v>0</v>
      </c>
      <c r="X35" s="38" t="s">
        <v>33</v>
      </c>
      <c r="Y35" s="23">
        <v>3</v>
      </c>
      <c r="Z35" s="23" t="s">
        <v>34</v>
      </c>
      <c r="AA35" s="23" t="s">
        <v>31</v>
      </c>
      <c r="AB35" s="38" t="s">
        <v>31</v>
      </c>
      <c r="AC35" s="187" t="s">
        <v>494</v>
      </c>
      <c r="AD35" s="187" t="s">
        <v>495</v>
      </c>
      <c r="AE35" s="187" t="s">
        <v>402</v>
      </c>
      <c r="AF35" s="187"/>
      <c r="AG35" s="187"/>
      <c r="AH35" s="123" t="s">
        <v>461</v>
      </c>
      <c r="AI35" s="187"/>
      <c r="AJ35" s="196"/>
      <c r="AK35" s="120">
        <v>0</v>
      </c>
      <c r="AL35" s="196">
        <v>1</v>
      </c>
      <c r="AM35" s="121">
        <v>870.73170731707319</v>
      </c>
      <c r="AN35" s="187"/>
      <c r="AO35" s="187"/>
      <c r="AP35" s="125" t="s">
        <v>461</v>
      </c>
      <c r="AQ35" s="187"/>
      <c r="AR35" s="187"/>
      <c r="AS35" s="122" t="s">
        <v>461</v>
      </c>
      <c r="AT35" s="187"/>
      <c r="AU35" s="187"/>
      <c r="AV35" s="122" t="s">
        <v>461</v>
      </c>
      <c r="AW35" s="187"/>
      <c r="AX35" s="187"/>
      <c r="AY35" s="122" t="s">
        <v>461</v>
      </c>
      <c r="AZ35" s="187">
        <v>3</v>
      </c>
      <c r="BA35" s="187">
        <v>3</v>
      </c>
      <c r="BB35" s="221">
        <v>13526.829268292684</v>
      </c>
      <c r="BC35" s="187"/>
      <c r="BD35" s="195" t="s">
        <v>461</v>
      </c>
      <c r="BE35" s="3"/>
    </row>
    <row r="36" spans="1:57" x14ac:dyDescent="0.25">
      <c r="A36" s="37" t="s">
        <v>90</v>
      </c>
      <c r="B36" s="38" t="s">
        <v>25</v>
      </c>
      <c r="C36" s="38" t="s">
        <v>26</v>
      </c>
      <c r="D36" s="38" t="s">
        <v>91</v>
      </c>
      <c r="E36" s="38" t="s">
        <v>92</v>
      </c>
      <c r="F36" s="38">
        <v>2023</v>
      </c>
      <c r="G36" s="66" t="s">
        <v>50</v>
      </c>
      <c r="H36" s="24" t="s">
        <v>51</v>
      </c>
      <c r="I36" s="23" t="s">
        <v>31</v>
      </c>
      <c r="J36" s="38" t="s">
        <v>32</v>
      </c>
      <c r="K36" s="23">
        <v>1</v>
      </c>
      <c r="L36" s="23">
        <v>6</v>
      </c>
      <c r="M36" s="23">
        <v>475</v>
      </c>
      <c r="N36" s="132">
        <v>0</v>
      </c>
      <c r="O36" s="23" t="s">
        <v>31</v>
      </c>
      <c r="P36" s="23">
        <v>0</v>
      </c>
      <c r="Q36" s="217" t="s">
        <v>458</v>
      </c>
      <c r="R36" s="126">
        <v>0</v>
      </c>
      <c r="S36" s="38" t="s">
        <v>33</v>
      </c>
      <c r="T36" s="38">
        <v>1620.75</v>
      </c>
      <c r="U36" s="38">
        <v>2</v>
      </c>
      <c r="V36" s="23" t="s">
        <v>31</v>
      </c>
      <c r="W36" s="23" t="s">
        <v>31</v>
      </c>
      <c r="X36" s="38" t="s">
        <v>93</v>
      </c>
      <c r="Y36" s="38">
        <v>1.5</v>
      </c>
      <c r="Z36" s="38" t="s">
        <v>94</v>
      </c>
      <c r="AA36" s="38" t="s">
        <v>31</v>
      </c>
      <c r="AB36" s="38" t="s">
        <v>95</v>
      </c>
      <c r="AC36" s="187" t="s">
        <v>496</v>
      </c>
      <c r="AD36" s="187" t="s">
        <v>495</v>
      </c>
      <c r="AE36" s="187" t="s">
        <v>402</v>
      </c>
      <c r="AF36" s="187"/>
      <c r="AG36" s="187"/>
      <c r="AH36" s="123" t="s">
        <v>461</v>
      </c>
      <c r="AI36" s="187" t="s">
        <v>497</v>
      </c>
      <c r="AJ36" s="196">
        <v>1</v>
      </c>
      <c r="AK36" s="120">
        <v>1714.6341463414635</v>
      </c>
      <c r="AL36" s="196">
        <v>1</v>
      </c>
      <c r="AM36" s="121">
        <v>870.73170731707319</v>
      </c>
      <c r="AN36" s="187"/>
      <c r="AO36" s="187"/>
      <c r="AP36" s="125" t="s">
        <v>461</v>
      </c>
      <c r="AQ36" s="187"/>
      <c r="AR36" s="187"/>
      <c r="AS36" s="122" t="s">
        <v>461</v>
      </c>
      <c r="AT36" s="187"/>
      <c r="AU36" s="187"/>
      <c r="AV36" s="122" t="s">
        <v>461</v>
      </c>
      <c r="AW36" s="187"/>
      <c r="AX36" s="187"/>
      <c r="AY36" s="122" t="s">
        <v>461</v>
      </c>
      <c r="AZ36" s="187"/>
      <c r="BA36" s="187"/>
      <c r="BB36" s="187" t="s">
        <v>461</v>
      </c>
      <c r="BC36" s="187"/>
      <c r="BD36" s="195" t="s">
        <v>461</v>
      </c>
      <c r="BE36" s="3" t="s">
        <v>498</v>
      </c>
    </row>
    <row r="37" spans="1:57" x14ac:dyDescent="0.25">
      <c r="A37" s="37" t="s">
        <v>90</v>
      </c>
      <c r="B37" s="38" t="s">
        <v>25</v>
      </c>
      <c r="C37" s="38" t="s">
        <v>26</v>
      </c>
      <c r="D37" s="38" t="s">
        <v>91</v>
      </c>
      <c r="E37" s="38" t="s">
        <v>92</v>
      </c>
      <c r="F37" s="38">
        <v>2023</v>
      </c>
      <c r="G37" s="84" t="s">
        <v>172</v>
      </c>
      <c r="H37" s="24" t="s">
        <v>173</v>
      </c>
      <c r="I37" s="23" t="s">
        <v>31</v>
      </c>
      <c r="J37" s="38" t="s">
        <v>32</v>
      </c>
      <c r="K37" s="23">
        <v>1</v>
      </c>
      <c r="L37" s="23">
        <v>6</v>
      </c>
      <c r="M37" s="23">
        <v>475</v>
      </c>
      <c r="N37" s="132">
        <v>0</v>
      </c>
      <c r="O37" s="23" t="s">
        <v>31</v>
      </c>
      <c r="P37" s="23">
        <v>0</v>
      </c>
      <c r="Q37" s="217" t="s">
        <v>458</v>
      </c>
      <c r="R37" s="126">
        <v>0</v>
      </c>
      <c r="S37" s="38" t="s">
        <v>33</v>
      </c>
      <c r="T37" s="38">
        <v>1620.75</v>
      </c>
      <c r="U37" s="38">
        <v>2</v>
      </c>
      <c r="V37" s="23" t="s">
        <v>31</v>
      </c>
      <c r="W37" s="23" t="s">
        <v>31</v>
      </c>
      <c r="X37" s="38" t="s">
        <v>93</v>
      </c>
      <c r="Y37" s="38">
        <v>1.5</v>
      </c>
      <c r="Z37" s="38" t="s">
        <v>94</v>
      </c>
      <c r="AA37" s="38" t="s">
        <v>31</v>
      </c>
      <c r="AB37" s="38" t="s">
        <v>95</v>
      </c>
      <c r="AC37" s="187" t="s">
        <v>499</v>
      </c>
      <c r="AD37" s="187" t="s">
        <v>473</v>
      </c>
      <c r="AE37" s="187" t="s">
        <v>402</v>
      </c>
      <c r="AF37" s="187"/>
      <c r="AG37" s="187"/>
      <c r="AH37" s="123" t="s">
        <v>461</v>
      </c>
      <c r="AI37" s="187"/>
      <c r="AJ37" s="196"/>
      <c r="AK37" s="120">
        <v>0</v>
      </c>
      <c r="AL37" s="196">
        <v>1</v>
      </c>
      <c r="AM37" s="121">
        <v>870.73170731707319</v>
      </c>
      <c r="AN37" s="187"/>
      <c r="AO37" s="187"/>
      <c r="AP37" s="125" t="s">
        <v>461</v>
      </c>
      <c r="AQ37" s="187"/>
      <c r="AR37" s="187"/>
      <c r="AS37" s="122" t="s">
        <v>461</v>
      </c>
      <c r="AT37" s="187">
        <v>1</v>
      </c>
      <c r="AU37" s="187">
        <v>1000</v>
      </c>
      <c r="AV37" s="122">
        <v>12831.910444027517</v>
      </c>
      <c r="AW37" s="187"/>
      <c r="AX37" s="187"/>
      <c r="AY37" s="122" t="s">
        <v>461</v>
      </c>
      <c r="AZ37" s="187"/>
      <c r="BA37" s="187"/>
      <c r="BB37" s="187" t="s">
        <v>461</v>
      </c>
      <c r="BC37" s="187"/>
      <c r="BD37" s="195" t="s">
        <v>461</v>
      </c>
      <c r="BE37" s="3"/>
    </row>
    <row r="38" spans="1:57" x14ac:dyDescent="0.25">
      <c r="A38" s="24" t="s">
        <v>241</v>
      </c>
      <c r="B38" s="23" t="s">
        <v>242</v>
      </c>
      <c r="C38" s="23" t="s">
        <v>243</v>
      </c>
      <c r="D38" s="38" t="s">
        <v>352</v>
      </c>
      <c r="E38" s="23" t="s">
        <v>245</v>
      </c>
      <c r="F38" s="23">
        <v>2023</v>
      </c>
      <c r="G38" s="84" t="s">
        <v>50</v>
      </c>
      <c r="H38" s="24" t="s">
        <v>51</v>
      </c>
      <c r="I38" s="23" t="s">
        <v>31</v>
      </c>
      <c r="J38" s="23" t="s">
        <v>246</v>
      </c>
      <c r="K38" s="23">
        <v>0</v>
      </c>
      <c r="L38" s="23">
        <v>0</v>
      </c>
      <c r="M38" s="23">
        <v>400</v>
      </c>
      <c r="N38" s="130">
        <v>0</v>
      </c>
      <c r="O38" s="23" t="s">
        <v>31</v>
      </c>
      <c r="P38" s="23">
        <v>0</v>
      </c>
      <c r="Q38" s="217" t="s">
        <v>458</v>
      </c>
      <c r="R38" s="126">
        <v>0</v>
      </c>
      <c r="S38" s="23" t="s">
        <v>247</v>
      </c>
      <c r="T38" s="23" t="s">
        <v>248</v>
      </c>
      <c r="U38" s="23" t="s">
        <v>31</v>
      </c>
      <c r="V38" s="23" t="s">
        <v>31</v>
      </c>
      <c r="W38" s="23" t="s">
        <v>31</v>
      </c>
      <c r="X38" s="23" t="s">
        <v>31</v>
      </c>
      <c r="Y38" s="23" t="s">
        <v>31</v>
      </c>
      <c r="Z38" s="23" t="s">
        <v>31</v>
      </c>
      <c r="AA38" s="23" t="s">
        <v>31</v>
      </c>
      <c r="AB38" s="23" t="s">
        <v>269</v>
      </c>
      <c r="AC38" s="187" t="s">
        <v>500</v>
      </c>
      <c r="AD38" s="187" t="s">
        <v>495</v>
      </c>
      <c r="AE38" s="187" t="s">
        <v>402</v>
      </c>
      <c r="AF38" s="187"/>
      <c r="AG38" s="187"/>
      <c r="AH38" s="123" t="s">
        <v>461</v>
      </c>
      <c r="AI38" s="187"/>
      <c r="AJ38" s="196"/>
      <c r="AK38" s="120">
        <v>0</v>
      </c>
      <c r="AL38" s="196">
        <v>0</v>
      </c>
      <c r="AM38" s="121">
        <v>0</v>
      </c>
      <c r="AN38" s="187"/>
      <c r="AO38" s="187"/>
      <c r="AP38" s="125" t="s">
        <v>461</v>
      </c>
      <c r="AQ38" s="187"/>
      <c r="AR38" s="187"/>
      <c r="AS38" s="122" t="s">
        <v>461</v>
      </c>
      <c r="AT38" s="187"/>
      <c r="AU38" s="187"/>
      <c r="AV38" s="122" t="s">
        <v>461</v>
      </c>
      <c r="AW38" s="187"/>
      <c r="AX38" s="187"/>
      <c r="AY38" s="122" t="s">
        <v>461</v>
      </c>
      <c r="AZ38" s="187"/>
      <c r="BA38" s="187"/>
      <c r="BB38" s="187" t="s">
        <v>461</v>
      </c>
      <c r="BC38" s="187"/>
      <c r="BD38" s="195" t="s">
        <v>461</v>
      </c>
      <c r="BE38" s="3"/>
    </row>
    <row r="39" spans="1:57" x14ac:dyDescent="0.25">
      <c r="A39" s="24" t="s">
        <v>241</v>
      </c>
      <c r="B39" s="23" t="s">
        <v>242</v>
      </c>
      <c r="C39" s="23" t="s">
        <v>243</v>
      </c>
      <c r="D39" s="38" t="s">
        <v>352</v>
      </c>
      <c r="E39" s="23" t="s">
        <v>245</v>
      </c>
      <c r="F39" s="23">
        <v>2023</v>
      </c>
      <c r="G39" s="31" t="s">
        <v>109</v>
      </c>
      <c r="H39" s="33" t="s">
        <v>109</v>
      </c>
      <c r="I39" s="32" t="s">
        <v>457</v>
      </c>
      <c r="J39" s="24" t="s">
        <v>246</v>
      </c>
      <c r="K39" s="23">
        <v>0</v>
      </c>
      <c r="L39" s="23">
        <v>0</v>
      </c>
      <c r="M39" s="23">
        <v>400</v>
      </c>
      <c r="N39" s="130">
        <v>0</v>
      </c>
      <c r="O39" s="23" t="s">
        <v>31</v>
      </c>
      <c r="P39" s="23">
        <v>0</v>
      </c>
      <c r="Q39" s="217" t="s">
        <v>458</v>
      </c>
      <c r="R39" s="126">
        <v>0</v>
      </c>
      <c r="S39" s="23" t="s">
        <v>247</v>
      </c>
      <c r="T39" s="23" t="s">
        <v>248</v>
      </c>
      <c r="U39" s="23" t="s">
        <v>31</v>
      </c>
      <c r="V39" s="23" t="s">
        <v>31</v>
      </c>
      <c r="W39" s="23" t="s">
        <v>31</v>
      </c>
      <c r="X39" s="23" t="s">
        <v>31</v>
      </c>
      <c r="Y39" s="23" t="s">
        <v>31</v>
      </c>
      <c r="Z39" s="23" t="s">
        <v>31</v>
      </c>
      <c r="AA39" s="30" t="s">
        <v>31</v>
      </c>
      <c r="AB39" s="28" t="s">
        <v>249</v>
      </c>
      <c r="AC39" s="187" t="s">
        <v>501</v>
      </c>
      <c r="AD39" s="187"/>
      <c r="AE39" s="187" t="s">
        <v>402</v>
      </c>
      <c r="AF39" s="187"/>
      <c r="AG39" s="187"/>
      <c r="AH39" s="123" t="s">
        <v>461</v>
      </c>
      <c r="AI39" s="187"/>
      <c r="AJ39" s="196"/>
      <c r="AK39" s="120">
        <v>0</v>
      </c>
      <c r="AL39" s="196">
        <v>0</v>
      </c>
      <c r="AM39" s="121">
        <v>0</v>
      </c>
      <c r="AN39" s="187"/>
      <c r="AO39" s="187"/>
      <c r="AP39" s="125" t="s">
        <v>461</v>
      </c>
      <c r="AQ39" s="187"/>
      <c r="AR39" s="187"/>
      <c r="AS39" s="122" t="s">
        <v>461</v>
      </c>
      <c r="AT39" s="187"/>
      <c r="AU39" s="187"/>
      <c r="AV39" s="122" t="s">
        <v>461</v>
      </c>
      <c r="AW39" s="187"/>
      <c r="AX39" s="187"/>
      <c r="AY39" s="122" t="s">
        <v>461</v>
      </c>
      <c r="AZ39" s="187"/>
      <c r="BA39" s="187"/>
      <c r="BB39" s="187" t="s">
        <v>461</v>
      </c>
      <c r="BC39" s="187"/>
      <c r="BD39" s="195" t="s">
        <v>461</v>
      </c>
      <c r="BE39" s="3"/>
    </row>
    <row r="40" spans="1:57" x14ac:dyDescent="0.25">
      <c r="A40" s="24" t="s">
        <v>241</v>
      </c>
      <c r="B40" s="23" t="s">
        <v>242</v>
      </c>
      <c r="C40" s="23" t="s">
        <v>243</v>
      </c>
      <c r="D40" s="38" t="s">
        <v>352</v>
      </c>
      <c r="E40" s="23" t="s">
        <v>245</v>
      </c>
      <c r="F40" s="23">
        <v>2023</v>
      </c>
      <c r="G40" s="31" t="s">
        <v>302</v>
      </c>
      <c r="H40" s="80" t="s">
        <v>302</v>
      </c>
      <c r="I40" s="32" t="s">
        <v>31</v>
      </c>
      <c r="J40" s="24" t="s">
        <v>275</v>
      </c>
      <c r="K40" s="23">
        <v>2</v>
      </c>
      <c r="L40" s="23">
        <v>2</v>
      </c>
      <c r="M40" s="29">
        <v>3800</v>
      </c>
      <c r="N40" s="129">
        <v>0</v>
      </c>
      <c r="O40" s="23" t="s">
        <v>31</v>
      </c>
      <c r="P40" s="23">
        <v>0</v>
      </c>
      <c r="Q40" s="217" t="s">
        <v>458</v>
      </c>
      <c r="R40" s="126">
        <v>0</v>
      </c>
      <c r="S40" s="23" t="s">
        <v>247</v>
      </c>
      <c r="T40" s="23" t="s">
        <v>276</v>
      </c>
      <c r="U40" s="23" t="s">
        <v>31</v>
      </c>
      <c r="V40" s="23" t="s">
        <v>31</v>
      </c>
      <c r="W40" s="23" t="s">
        <v>31</v>
      </c>
      <c r="X40" s="23" t="s">
        <v>31</v>
      </c>
      <c r="Y40" s="23" t="s">
        <v>31</v>
      </c>
      <c r="Z40" s="23" t="s">
        <v>31</v>
      </c>
      <c r="AA40" s="30" t="s">
        <v>31</v>
      </c>
      <c r="AB40" s="28" t="s">
        <v>300</v>
      </c>
      <c r="AC40" s="187" t="s">
        <v>502</v>
      </c>
      <c r="AD40" s="187"/>
      <c r="AE40" s="187" t="s">
        <v>460</v>
      </c>
      <c r="AF40" s="187"/>
      <c r="AG40" s="187"/>
      <c r="AH40" s="123" t="s">
        <v>461</v>
      </c>
      <c r="AI40" s="187"/>
      <c r="AJ40" s="196">
        <v>1</v>
      </c>
      <c r="AK40" s="120">
        <v>1714.6341463414635</v>
      </c>
      <c r="AL40" s="196">
        <v>1</v>
      </c>
      <c r="AM40" s="121">
        <v>870.73170731707319</v>
      </c>
      <c r="AN40" s="187"/>
      <c r="AO40" s="187"/>
      <c r="AP40" s="125" t="s">
        <v>461</v>
      </c>
      <c r="AQ40" s="187"/>
      <c r="AR40" s="187"/>
      <c r="AS40" s="122" t="s">
        <v>461</v>
      </c>
      <c r="AT40" s="187"/>
      <c r="AU40" s="187"/>
      <c r="AV40" s="122" t="s">
        <v>461</v>
      </c>
      <c r="AW40" s="187"/>
      <c r="AX40" s="187"/>
      <c r="AY40" s="122" t="s">
        <v>461</v>
      </c>
      <c r="AZ40" s="187"/>
      <c r="BA40" s="187"/>
      <c r="BB40" s="187" t="s">
        <v>461</v>
      </c>
      <c r="BC40" s="187"/>
      <c r="BD40" s="195" t="s">
        <v>461</v>
      </c>
      <c r="BE40" s="3"/>
    </row>
    <row r="41" spans="1:57" x14ac:dyDescent="0.25">
      <c r="A41" s="24" t="s">
        <v>241</v>
      </c>
      <c r="B41" s="23" t="s">
        <v>242</v>
      </c>
      <c r="C41" s="23" t="s">
        <v>278</v>
      </c>
      <c r="D41" s="38" t="s">
        <v>352</v>
      </c>
      <c r="E41" s="23" t="s">
        <v>245</v>
      </c>
      <c r="F41" s="23">
        <v>2023</v>
      </c>
      <c r="G41" s="31" t="s">
        <v>302</v>
      </c>
      <c r="H41" s="33" t="s">
        <v>302</v>
      </c>
      <c r="I41" s="80" t="s">
        <v>31</v>
      </c>
      <c r="J41" s="24" t="s">
        <v>246</v>
      </c>
      <c r="K41" s="23" t="s">
        <v>31</v>
      </c>
      <c r="L41" s="23">
        <v>2</v>
      </c>
      <c r="M41" s="29">
        <v>1500</v>
      </c>
      <c r="N41" s="129">
        <v>0</v>
      </c>
      <c r="O41" s="23" t="s">
        <v>31</v>
      </c>
      <c r="P41" s="23">
        <v>0</v>
      </c>
      <c r="Q41" s="217" t="s">
        <v>458</v>
      </c>
      <c r="R41" s="126">
        <v>0</v>
      </c>
      <c r="S41" s="23" t="s">
        <v>247</v>
      </c>
      <c r="T41" s="23" t="s">
        <v>279</v>
      </c>
      <c r="U41" s="23" t="s">
        <v>31</v>
      </c>
      <c r="V41" s="23" t="s">
        <v>31</v>
      </c>
      <c r="W41" s="23" t="s">
        <v>31</v>
      </c>
      <c r="X41" s="23" t="s">
        <v>31</v>
      </c>
      <c r="Y41" s="23" t="s">
        <v>31</v>
      </c>
      <c r="Z41" s="23" t="s">
        <v>31</v>
      </c>
      <c r="AA41" s="30" t="s">
        <v>31</v>
      </c>
      <c r="AB41" s="28" t="s">
        <v>303</v>
      </c>
      <c r="AC41" s="187" t="s">
        <v>502</v>
      </c>
      <c r="AD41" s="187"/>
      <c r="AE41" s="187" t="s">
        <v>402</v>
      </c>
      <c r="AF41" s="187"/>
      <c r="AG41" s="187"/>
      <c r="AH41" s="123" t="s">
        <v>461</v>
      </c>
      <c r="AI41" s="187"/>
      <c r="AJ41" s="196"/>
      <c r="AK41" s="120">
        <v>0</v>
      </c>
      <c r="AL41" s="187">
        <v>0</v>
      </c>
      <c r="AM41" s="121">
        <v>0</v>
      </c>
      <c r="AN41" s="187"/>
      <c r="AO41" s="187"/>
      <c r="AP41" s="125" t="s">
        <v>461</v>
      </c>
      <c r="AQ41" s="187"/>
      <c r="AR41" s="187"/>
      <c r="AS41" s="122" t="s">
        <v>461</v>
      </c>
      <c r="AT41" s="187"/>
      <c r="AU41" s="187"/>
      <c r="AV41" s="122" t="s">
        <v>461</v>
      </c>
      <c r="AW41" s="187"/>
      <c r="AX41" s="187"/>
      <c r="AY41" s="122" t="s">
        <v>461</v>
      </c>
      <c r="AZ41" s="187"/>
      <c r="BA41" s="187"/>
      <c r="BB41" s="187" t="s">
        <v>461</v>
      </c>
      <c r="BC41" s="187"/>
      <c r="BD41" s="195" t="s">
        <v>461</v>
      </c>
      <c r="BE41" s="3"/>
    </row>
    <row r="42" spans="1:57" x14ac:dyDescent="0.25">
      <c r="A42" s="24" t="s">
        <v>241</v>
      </c>
      <c r="B42" s="23" t="s">
        <v>242</v>
      </c>
      <c r="C42" s="23" t="s">
        <v>243</v>
      </c>
      <c r="D42" s="38" t="s">
        <v>352</v>
      </c>
      <c r="E42" s="23" t="s">
        <v>245</v>
      </c>
      <c r="F42" s="23">
        <v>2023</v>
      </c>
      <c r="G42" s="80" t="s">
        <v>109</v>
      </c>
      <c r="H42" s="80" t="s">
        <v>109</v>
      </c>
      <c r="I42" s="80" t="s">
        <v>457</v>
      </c>
      <c r="J42" s="24" t="s">
        <v>246</v>
      </c>
      <c r="K42" s="23">
        <v>0</v>
      </c>
      <c r="L42" s="23">
        <v>0</v>
      </c>
      <c r="M42" s="23">
        <v>400</v>
      </c>
      <c r="N42" s="130">
        <v>0</v>
      </c>
      <c r="O42" s="23" t="s">
        <v>31</v>
      </c>
      <c r="P42" s="23">
        <v>0</v>
      </c>
      <c r="Q42" s="217" t="s">
        <v>458</v>
      </c>
      <c r="R42" s="126">
        <v>0</v>
      </c>
      <c r="S42" s="23" t="s">
        <v>247</v>
      </c>
      <c r="T42" s="23" t="s">
        <v>248</v>
      </c>
      <c r="U42" s="23" t="s">
        <v>31</v>
      </c>
      <c r="V42" s="23" t="s">
        <v>31</v>
      </c>
      <c r="W42" s="23" t="s">
        <v>31</v>
      </c>
      <c r="X42" s="23" t="s">
        <v>31</v>
      </c>
      <c r="Y42" s="23" t="s">
        <v>31</v>
      </c>
      <c r="Z42" s="23" t="s">
        <v>31</v>
      </c>
      <c r="AA42" s="30" t="s">
        <v>31</v>
      </c>
      <c r="AB42" s="35" t="s">
        <v>313</v>
      </c>
      <c r="AC42" s="187" t="s">
        <v>501</v>
      </c>
      <c r="AD42" s="187"/>
      <c r="AE42" s="187" t="s">
        <v>402</v>
      </c>
      <c r="AF42" s="187"/>
      <c r="AG42" s="187"/>
      <c r="AH42" s="123" t="s">
        <v>461</v>
      </c>
      <c r="AI42" s="187"/>
      <c r="AJ42" s="196">
        <v>0</v>
      </c>
      <c r="AK42" s="120">
        <v>0</v>
      </c>
      <c r="AL42" s="196">
        <v>0</v>
      </c>
      <c r="AM42" s="121">
        <v>0</v>
      </c>
      <c r="AN42" s="187"/>
      <c r="AO42" s="187"/>
      <c r="AP42" s="125" t="s">
        <v>461</v>
      </c>
      <c r="AQ42" s="187"/>
      <c r="AR42" s="187"/>
      <c r="AS42" s="122" t="s">
        <v>461</v>
      </c>
      <c r="AT42" s="187"/>
      <c r="AU42" s="187"/>
      <c r="AV42" s="122" t="s">
        <v>461</v>
      </c>
      <c r="AW42" s="187"/>
      <c r="AX42" s="187"/>
      <c r="AY42" s="122" t="s">
        <v>461</v>
      </c>
      <c r="AZ42" s="187"/>
      <c r="BA42" s="187"/>
      <c r="BB42" s="187" t="s">
        <v>461</v>
      </c>
      <c r="BC42" s="187"/>
      <c r="BD42" s="195" t="s">
        <v>461</v>
      </c>
      <c r="BE42" s="3"/>
    </row>
    <row r="43" spans="1:57" x14ac:dyDescent="0.25">
      <c r="A43" s="24" t="s">
        <v>241</v>
      </c>
      <c r="B43" s="23" t="s">
        <v>242</v>
      </c>
      <c r="C43" s="23" t="s">
        <v>243</v>
      </c>
      <c r="D43" s="38" t="s">
        <v>352</v>
      </c>
      <c r="E43" s="23" t="s">
        <v>245</v>
      </c>
      <c r="F43" s="23">
        <v>2023</v>
      </c>
      <c r="G43" s="31" t="s">
        <v>112</v>
      </c>
      <c r="H43" s="28" t="s">
        <v>112</v>
      </c>
      <c r="I43" s="27" t="s">
        <v>457</v>
      </c>
      <c r="J43" s="24" t="s">
        <v>246</v>
      </c>
      <c r="K43" s="23">
        <v>0</v>
      </c>
      <c r="L43" s="23">
        <v>0</v>
      </c>
      <c r="M43" s="23">
        <v>400</v>
      </c>
      <c r="N43" s="130">
        <v>0</v>
      </c>
      <c r="O43" s="23" t="s">
        <v>31</v>
      </c>
      <c r="P43" s="23">
        <v>0</v>
      </c>
      <c r="Q43" s="217" t="s">
        <v>458</v>
      </c>
      <c r="R43" s="126">
        <v>0</v>
      </c>
      <c r="S43" s="23" t="s">
        <v>247</v>
      </c>
      <c r="T43" s="23" t="s">
        <v>248</v>
      </c>
      <c r="U43" s="23" t="s">
        <v>31</v>
      </c>
      <c r="V43" s="23" t="s">
        <v>31</v>
      </c>
      <c r="W43" s="23" t="s">
        <v>31</v>
      </c>
      <c r="X43" s="23" t="s">
        <v>31</v>
      </c>
      <c r="Y43" s="23" t="s">
        <v>31</v>
      </c>
      <c r="Z43" s="23" t="s">
        <v>31</v>
      </c>
      <c r="AA43" s="30" t="s">
        <v>31</v>
      </c>
      <c r="AB43" s="35" t="s">
        <v>324</v>
      </c>
      <c r="AC43" s="187"/>
      <c r="AD43" s="187">
        <v>5</v>
      </c>
      <c r="AE43" s="187" t="s">
        <v>402</v>
      </c>
      <c r="AF43" s="187"/>
      <c r="AG43" s="187"/>
      <c r="AH43" s="123" t="s">
        <v>461</v>
      </c>
      <c r="AI43" s="187"/>
      <c r="AJ43" s="196"/>
      <c r="AK43" s="120">
        <v>0</v>
      </c>
      <c r="AL43" s="196">
        <v>0</v>
      </c>
      <c r="AM43" s="121">
        <v>0</v>
      </c>
      <c r="AN43" s="187"/>
      <c r="AO43" s="187"/>
      <c r="AP43" s="125" t="s">
        <v>461</v>
      </c>
      <c r="AQ43" s="187"/>
      <c r="AR43" s="187"/>
      <c r="AS43" s="122" t="s">
        <v>461</v>
      </c>
      <c r="AT43" s="187"/>
      <c r="AU43" s="187"/>
      <c r="AV43" s="122" t="s">
        <v>461</v>
      </c>
      <c r="AW43" s="187"/>
      <c r="AX43" s="187"/>
      <c r="AY43" s="122" t="s">
        <v>461</v>
      </c>
      <c r="AZ43" s="187"/>
      <c r="BA43" s="187"/>
      <c r="BB43" s="187" t="s">
        <v>461</v>
      </c>
      <c r="BC43" s="187"/>
      <c r="BD43" s="195" t="s">
        <v>461</v>
      </c>
      <c r="BE43" s="3"/>
    </row>
    <row r="44" spans="1:57" x14ac:dyDescent="0.25">
      <c r="A44" s="24" t="s">
        <v>241</v>
      </c>
      <c r="B44" s="23" t="s">
        <v>242</v>
      </c>
      <c r="C44" s="23" t="s">
        <v>243</v>
      </c>
      <c r="D44" s="38" t="s">
        <v>352</v>
      </c>
      <c r="E44" s="23" t="s">
        <v>245</v>
      </c>
      <c r="F44" s="23">
        <v>2023</v>
      </c>
      <c r="G44" s="31" t="s">
        <v>336</v>
      </c>
      <c r="H44" s="33" t="s">
        <v>337</v>
      </c>
      <c r="I44" s="80" t="s">
        <v>31</v>
      </c>
      <c r="J44" s="24" t="s">
        <v>246</v>
      </c>
      <c r="K44" s="23">
        <v>0</v>
      </c>
      <c r="L44" s="23">
        <v>0</v>
      </c>
      <c r="M44" s="23">
        <v>400</v>
      </c>
      <c r="N44" s="130">
        <v>0</v>
      </c>
      <c r="O44" s="23" t="s">
        <v>31</v>
      </c>
      <c r="P44" s="23">
        <v>0</v>
      </c>
      <c r="Q44" s="217" t="s">
        <v>458</v>
      </c>
      <c r="R44" s="126">
        <v>0</v>
      </c>
      <c r="S44" s="23" t="s">
        <v>247</v>
      </c>
      <c r="T44" s="23" t="s">
        <v>248</v>
      </c>
      <c r="U44" s="23" t="s">
        <v>31</v>
      </c>
      <c r="V44" s="23" t="s">
        <v>31</v>
      </c>
      <c r="W44" s="23" t="s">
        <v>31</v>
      </c>
      <c r="X44" s="23" t="s">
        <v>31</v>
      </c>
      <c r="Y44" s="23" t="s">
        <v>31</v>
      </c>
      <c r="Z44" s="23" t="s">
        <v>31</v>
      </c>
      <c r="AA44" s="30" t="s">
        <v>31</v>
      </c>
      <c r="AB44" s="35" t="s">
        <v>320</v>
      </c>
      <c r="AC44" s="187" t="s">
        <v>503</v>
      </c>
      <c r="AD44" s="187">
        <v>4</v>
      </c>
      <c r="AE44" s="187" t="s">
        <v>402</v>
      </c>
      <c r="AF44" s="187"/>
      <c r="AG44" s="187"/>
      <c r="AH44" s="123" t="s">
        <v>461</v>
      </c>
      <c r="AI44" s="187" t="s">
        <v>402</v>
      </c>
      <c r="AJ44" s="196">
        <v>1</v>
      </c>
      <c r="AK44" s="120">
        <v>1714.6341463414635</v>
      </c>
      <c r="AL44" s="196">
        <v>0</v>
      </c>
      <c r="AM44" s="121">
        <v>0</v>
      </c>
      <c r="AN44" s="187"/>
      <c r="AO44" s="187"/>
      <c r="AP44" s="125" t="s">
        <v>461</v>
      </c>
      <c r="AQ44" s="187"/>
      <c r="AR44" s="187"/>
      <c r="AS44" s="122" t="s">
        <v>461</v>
      </c>
      <c r="AT44" s="187"/>
      <c r="AU44" s="187"/>
      <c r="AV44" s="122" t="s">
        <v>461</v>
      </c>
      <c r="AW44" s="187"/>
      <c r="AX44" s="187"/>
      <c r="AY44" s="122" t="s">
        <v>461</v>
      </c>
      <c r="AZ44" s="187"/>
      <c r="BA44" s="187"/>
      <c r="BB44" s="187" t="s">
        <v>461</v>
      </c>
      <c r="BC44" s="187"/>
      <c r="BD44" s="195" t="s">
        <v>461</v>
      </c>
      <c r="BE44" s="3"/>
    </row>
    <row r="45" spans="1:57" x14ac:dyDescent="0.25">
      <c r="A45" s="24" t="s">
        <v>241</v>
      </c>
      <c r="B45" s="23" t="s">
        <v>242</v>
      </c>
      <c r="C45" s="23" t="s">
        <v>243</v>
      </c>
      <c r="D45" s="38" t="s">
        <v>352</v>
      </c>
      <c r="E45" s="23" t="s">
        <v>245</v>
      </c>
      <c r="F45" s="23">
        <v>2023</v>
      </c>
      <c r="G45" s="80" t="s">
        <v>349</v>
      </c>
      <c r="H45" s="80" t="s">
        <v>349</v>
      </c>
      <c r="I45" s="23" t="s">
        <v>457</v>
      </c>
      <c r="J45" s="23" t="s">
        <v>246</v>
      </c>
      <c r="K45" s="23">
        <v>0</v>
      </c>
      <c r="L45" s="23">
        <v>0</v>
      </c>
      <c r="M45" s="23">
        <v>400</v>
      </c>
      <c r="N45" s="131">
        <v>0</v>
      </c>
      <c r="O45" s="23" t="s">
        <v>31</v>
      </c>
      <c r="P45" s="23">
        <v>0</v>
      </c>
      <c r="Q45" s="217" t="s">
        <v>458</v>
      </c>
      <c r="R45" s="126">
        <v>0</v>
      </c>
      <c r="S45" s="23" t="s">
        <v>247</v>
      </c>
      <c r="T45" s="23" t="s">
        <v>248</v>
      </c>
      <c r="U45" s="23" t="s">
        <v>31</v>
      </c>
      <c r="V45" s="23" t="s">
        <v>31</v>
      </c>
      <c r="W45" s="23" t="s">
        <v>31</v>
      </c>
      <c r="X45" s="23" t="s">
        <v>31</v>
      </c>
      <c r="Y45" s="23" t="s">
        <v>31</v>
      </c>
      <c r="Z45" s="23" t="s">
        <v>31</v>
      </c>
      <c r="AA45" s="23" t="s">
        <v>31</v>
      </c>
      <c r="AB45" s="93" t="s">
        <v>345</v>
      </c>
      <c r="AC45" s="187"/>
      <c r="AD45" s="187">
        <v>4</v>
      </c>
      <c r="AE45" s="187" t="s">
        <v>402</v>
      </c>
      <c r="AF45" s="187"/>
      <c r="AG45" s="187"/>
      <c r="AH45" s="123" t="s">
        <v>461</v>
      </c>
      <c r="AI45" s="187"/>
      <c r="AJ45" s="196"/>
      <c r="AK45" s="120">
        <v>0</v>
      </c>
      <c r="AL45" s="196">
        <v>1</v>
      </c>
      <c r="AM45" s="121">
        <v>870.73170731707319</v>
      </c>
      <c r="AN45" s="187"/>
      <c r="AO45" s="187"/>
      <c r="AP45" s="125" t="s">
        <v>461</v>
      </c>
      <c r="AQ45" s="187"/>
      <c r="AR45" s="187"/>
      <c r="AS45" s="122" t="s">
        <v>461</v>
      </c>
      <c r="AT45" s="187"/>
      <c r="AU45" s="187"/>
      <c r="AV45" s="122" t="s">
        <v>461</v>
      </c>
      <c r="AW45" s="187"/>
      <c r="AX45" s="187"/>
      <c r="AY45" s="122" t="s">
        <v>461</v>
      </c>
      <c r="AZ45" s="187"/>
      <c r="BA45" s="187"/>
      <c r="BB45" s="187" t="s">
        <v>461</v>
      </c>
      <c r="BC45" s="187"/>
      <c r="BD45" s="195" t="s">
        <v>461</v>
      </c>
      <c r="BE45" s="3"/>
    </row>
    <row r="46" spans="1:57" s="79" customFormat="1" ht="12.75" x14ac:dyDescent="0.2">
      <c r="A46" s="37" t="s">
        <v>90</v>
      </c>
      <c r="B46" s="38" t="s">
        <v>25</v>
      </c>
      <c r="C46" s="38" t="s">
        <v>26</v>
      </c>
      <c r="D46" s="38" t="s">
        <v>91</v>
      </c>
      <c r="E46" s="38" t="s">
        <v>92</v>
      </c>
      <c r="F46" s="38">
        <v>2023</v>
      </c>
      <c r="G46" s="23" t="s">
        <v>105</v>
      </c>
      <c r="H46" s="83" t="s">
        <v>57</v>
      </c>
      <c r="I46" s="23" t="s">
        <v>31</v>
      </c>
      <c r="J46" s="39" t="s">
        <v>32</v>
      </c>
      <c r="K46" s="83">
        <v>1</v>
      </c>
      <c r="L46" s="83">
        <v>6</v>
      </c>
      <c r="M46" s="23">
        <v>475</v>
      </c>
      <c r="N46" s="145">
        <v>2850</v>
      </c>
      <c r="O46" s="23" t="s">
        <v>31</v>
      </c>
      <c r="P46" s="23">
        <f t="shared" ref="P46:P58" si="0">SUMIF($G$3:$G$292,G46,$N$3:$N$292)</f>
        <v>2850</v>
      </c>
      <c r="Q46" s="217">
        <f t="shared" ref="Q46:Q77" si="1">IF(N46&lt;&gt;0,N46/P46,"0")</f>
        <v>1</v>
      </c>
      <c r="R46" s="126" t="e">
        <f>VLOOKUP(G46,#REF!,11,0)*Q46</f>
        <v>#REF!</v>
      </c>
      <c r="S46" s="38" t="s">
        <v>33</v>
      </c>
      <c r="T46" s="38">
        <v>1620.75</v>
      </c>
      <c r="U46" s="38">
        <v>2</v>
      </c>
      <c r="V46" s="83" t="s">
        <v>31</v>
      </c>
      <c r="W46" s="83" t="s">
        <v>31</v>
      </c>
      <c r="X46" s="37" t="s">
        <v>93</v>
      </c>
      <c r="Y46" s="38">
        <v>1.5</v>
      </c>
      <c r="Z46" s="88" t="s">
        <v>94</v>
      </c>
      <c r="AA46" s="91" t="s">
        <v>31</v>
      </c>
      <c r="AB46" s="49" t="s">
        <v>95</v>
      </c>
      <c r="AC46" s="187" t="s">
        <v>504</v>
      </c>
      <c r="AD46" s="187" t="s">
        <v>495</v>
      </c>
      <c r="AE46" s="187" t="s">
        <v>403</v>
      </c>
      <c r="AF46" s="187"/>
      <c r="AG46" s="187"/>
      <c r="AH46" s="123" t="str">
        <f>IF(AG46=1,'BU FACILITIES'!$G$24,"")</f>
        <v/>
      </c>
      <c r="AI46" s="187"/>
      <c r="AJ46" s="196"/>
      <c r="AK46" s="120">
        <f>AJ46*'BU FACILITIES'!$G$21</f>
        <v>0</v>
      </c>
      <c r="AL46" s="196">
        <v>0</v>
      </c>
      <c r="AM46" s="121">
        <f>PRODUCT( AL46,'BU FACILITIES'!$G$22)</f>
        <v>0</v>
      </c>
      <c r="AN46" s="187"/>
      <c r="AO46" s="187"/>
      <c r="AP46" s="125" t="str">
        <f>IF(AO46=1,'BU FACILITIES'!$G$23,"")</f>
        <v/>
      </c>
      <c r="AQ46" s="187"/>
      <c r="AR46" s="187"/>
      <c r="AS46" s="122" t="str">
        <f>IF(AR46=300,AQ46*'BU FACILITIES'!$G$4, IF(AND(AR46&gt;300,AR46&lt;=500), AQ46*'BU FACILITIES'!$G$5, IF(AND(AR46&gt;500,AR46&lt;=1250), AQ46*'BU FACILITIES'!$G$6, IF(AND(AR46&gt;1250,AR46&lt;=2000),AQ46*'BU FACILITIES'!$G$7, ""))))</f>
        <v/>
      </c>
      <c r="AT46" s="187"/>
      <c r="AU46" s="187"/>
      <c r="AV46" s="122" t="str">
        <f>IF(AU46=100,AT46*'BU FACILITIES'!$G$8, IF(AND(AU46&gt;100,AU46&lt;=500), AT46*'BU FACILITIES'!$G$9, IF(AND(AU46&gt;500,AU46&lt;=800), AT46*'BU FACILITIES'!$G$10, IF(AND(AU46&gt;800,AU46&lt;=1000),AT46*'BU FACILITIES'!$G$11, IF(AND(AU46&gt;1000,AU46&lt;=1400),AT46*'BU FACILITIES'!$G$12, IF(AND(AU46&gt;1400,AU46&lt;=2000),AT46*'BU FACILITIES'!$G$13,""))))))</f>
        <v/>
      </c>
      <c r="AW46" s="187"/>
      <c r="AX46" s="187"/>
      <c r="AY46" s="122" t="str">
        <f>IF(AX46=30,AW46*'BU FACILITIES'!$G$14, IF(AX46=45, AW46*'BU FACILITIES'!$G$15, IF(AX46=450, AW46*'BU FACILITIES'!$G$16, "")))</f>
        <v/>
      </c>
      <c r="AZ46" s="187"/>
      <c r="BA46" s="187"/>
      <c r="BB46" s="187" t="str">
        <f>IF(AND(BA46&gt;=1,BA46&lt;=5),'BU FACILITIES'!$G$17, IF(AND(BA46&gt;5, BA46&lt;=10), 'BU FACILITIES'!$G$18, IF(AND(BA46&gt;10,BA46&lt;=20),'BU FACILITIES'!$G$19,"")))</f>
        <v/>
      </c>
      <c r="BC46" s="187"/>
      <c r="BD46" s="195" t="str">
        <f>IF(AND(AZ46="Modificar ductería de AA",BC46=1), 'BU FACILITIES'!$G$20, "")</f>
        <v/>
      </c>
    </row>
    <row r="47" spans="1:57" s="3" customFormat="1" ht="12.75" hidden="1" x14ac:dyDescent="0.2">
      <c r="A47" s="46" t="s">
        <v>90</v>
      </c>
      <c r="B47" s="39" t="s">
        <v>25</v>
      </c>
      <c r="C47" s="39" t="s">
        <v>26</v>
      </c>
      <c r="D47" s="39" t="s">
        <v>91</v>
      </c>
      <c r="E47" s="39" t="s">
        <v>92</v>
      </c>
      <c r="F47" s="39">
        <v>2023</v>
      </c>
      <c r="G47" s="22" t="s">
        <v>106</v>
      </c>
      <c r="H47" s="22" t="s">
        <v>107</v>
      </c>
      <c r="I47" s="22" t="s">
        <v>31</v>
      </c>
      <c r="J47" s="39" t="s">
        <v>32</v>
      </c>
      <c r="K47" s="22">
        <v>1</v>
      </c>
      <c r="L47" s="22">
        <v>6</v>
      </c>
      <c r="M47" s="22">
        <v>475</v>
      </c>
      <c r="N47" s="144">
        <v>2850</v>
      </c>
      <c r="O47" s="22" t="s">
        <v>31</v>
      </c>
      <c r="P47" s="23">
        <f t="shared" si="0"/>
        <v>2850</v>
      </c>
      <c r="Q47" s="217">
        <f t="shared" si="1"/>
        <v>1</v>
      </c>
      <c r="R47" s="126" t="e">
        <f>VLOOKUP(G47,#REF!,11,0)*Q47</f>
        <v>#REF!</v>
      </c>
      <c r="S47" s="39" t="s">
        <v>33</v>
      </c>
      <c r="T47" s="39">
        <v>1620.75</v>
      </c>
      <c r="U47" s="39">
        <v>2</v>
      </c>
      <c r="V47" s="22" t="s">
        <v>31</v>
      </c>
      <c r="W47" s="22" t="s">
        <v>31</v>
      </c>
      <c r="X47" s="39" t="s">
        <v>93</v>
      </c>
      <c r="Y47" s="39">
        <v>1.5</v>
      </c>
      <c r="Z47" s="87" t="s">
        <v>94</v>
      </c>
      <c r="AA47" s="90" t="s">
        <v>31</v>
      </c>
      <c r="AB47" s="46" t="s">
        <v>95</v>
      </c>
      <c r="AC47" s="187" t="s">
        <v>505</v>
      </c>
      <c r="AD47" s="187" t="s">
        <v>473</v>
      </c>
      <c r="AE47" s="198" t="s">
        <v>402</v>
      </c>
      <c r="AF47" s="187"/>
      <c r="AG47" s="187"/>
      <c r="AH47" s="123" t="str">
        <f>IF(AG47=1,'BU FACILITIES'!$G$24,"")</f>
        <v/>
      </c>
      <c r="AI47" s="187"/>
      <c r="AJ47" s="196"/>
      <c r="AK47" s="120">
        <f>AJ47*'BU FACILITIES'!$G$21</f>
        <v>0</v>
      </c>
      <c r="AL47" s="196">
        <v>1</v>
      </c>
      <c r="AM47" s="121">
        <f>PRODUCT( AL47,'BU FACILITIES'!$G$22)</f>
        <v>870.73170731707319</v>
      </c>
      <c r="AN47" s="187"/>
      <c r="AO47" s="187"/>
      <c r="AP47" s="125" t="str">
        <f>IF(AO47=1,'BU FACILITIES'!$G$23,"")</f>
        <v/>
      </c>
      <c r="AQ47" s="187"/>
      <c r="AR47" s="187"/>
      <c r="AS47" s="122" t="str">
        <f>IF(AR47=300,AQ47*'BU FACILITIES'!$G$4, IF(AND(AR47&gt;300,AR47&lt;=500), AQ47*'BU FACILITIES'!$G$5, IF(AND(AR47&gt;500,AR47&lt;=1250), AQ47*'BU FACILITIES'!$G$6, IF(AND(AR47&gt;1250,AR47&lt;=2000),AQ47*'BU FACILITIES'!$G$7, ""))))</f>
        <v/>
      </c>
      <c r="AT47" s="187"/>
      <c r="AU47" s="187"/>
      <c r="AV47" s="122" t="str">
        <f>IF(AU47=100,AT47*'BU FACILITIES'!$G$8, IF(AND(AU47&gt;100,AU47&lt;=500), AT47*'BU FACILITIES'!$G$9, IF(AND(AU47&gt;500,AU47&lt;=800), AT47*'BU FACILITIES'!$G$10, IF(AND(AU47&gt;800,AU47&lt;=1000),AT47*'BU FACILITIES'!$G$11, IF(AND(AU47&gt;1000,AU47&lt;=1400),AT47*'BU FACILITIES'!$G$12, IF(AND(AU47&gt;1400,AU47&lt;=2000),AT47*'BU FACILITIES'!$G$13,""))))))</f>
        <v/>
      </c>
      <c r="AW47" s="187"/>
      <c r="AX47" s="187"/>
      <c r="AY47" s="122" t="str">
        <f>IF(AX47=30,AW47*'BU FACILITIES'!$G$14, IF(AX47=45, AW47*'BU FACILITIES'!$G$15, IF(AX47=450, AW47*'BU FACILITIES'!$G$16, "")))</f>
        <v/>
      </c>
      <c r="AZ47" s="187"/>
      <c r="BA47" s="187"/>
      <c r="BB47" s="187" t="str">
        <f>IF(AND(BA47&gt;=1,BA47&lt;=5),'BU FACILITIES'!$G$17, IF(AND(BA47&gt;5, BA47&lt;=10), 'BU FACILITIES'!$G$18, IF(AND(BA47&gt;10,BA47&lt;=20),'BU FACILITIES'!$G$19,"")))</f>
        <v/>
      </c>
      <c r="BC47" s="187"/>
      <c r="BD47" s="195" t="str">
        <f>IF(AND(AZ47="Modificar ductería de AA",BC47=1), 'BU FACILITIES'!$G$20, "")</f>
        <v/>
      </c>
    </row>
    <row r="48" spans="1:57" s="3" customFormat="1" ht="12.75" hidden="1" x14ac:dyDescent="0.2">
      <c r="A48" s="37" t="s">
        <v>90</v>
      </c>
      <c r="B48" s="38" t="s">
        <v>25</v>
      </c>
      <c r="C48" s="38" t="s">
        <v>26</v>
      </c>
      <c r="D48" s="38" t="s">
        <v>91</v>
      </c>
      <c r="E48" s="38" t="s">
        <v>92</v>
      </c>
      <c r="F48" s="38">
        <v>2023</v>
      </c>
      <c r="G48" s="23" t="s">
        <v>506</v>
      </c>
      <c r="H48" s="23" t="s">
        <v>110</v>
      </c>
      <c r="I48" s="81" t="s">
        <v>457</v>
      </c>
      <c r="J48" s="38" t="s">
        <v>32</v>
      </c>
      <c r="K48" s="23">
        <v>1</v>
      </c>
      <c r="L48" s="23">
        <v>6</v>
      </c>
      <c r="M48" s="23">
        <v>475</v>
      </c>
      <c r="N48" s="134">
        <v>2850</v>
      </c>
      <c r="O48" s="23" t="s">
        <v>31</v>
      </c>
      <c r="P48" s="23">
        <f t="shared" si="0"/>
        <v>2850</v>
      </c>
      <c r="Q48" s="217">
        <f t="shared" si="1"/>
        <v>1</v>
      </c>
      <c r="R48" s="126" t="e">
        <f>VLOOKUP(G48,#REF!,11,0)*Q48</f>
        <v>#REF!</v>
      </c>
      <c r="S48" s="38" t="s">
        <v>33</v>
      </c>
      <c r="T48" s="38">
        <v>1620.75</v>
      </c>
      <c r="U48" s="38">
        <v>2</v>
      </c>
      <c r="V48" s="23" t="s">
        <v>31</v>
      </c>
      <c r="W48" s="23" t="s">
        <v>31</v>
      </c>
      <c r="X48" s="38" t="s">
        <v>93</v>
      </c>
      <c r="Y48" s="38">
        <v>1.5</v>
      </c>
      <c r="Z48" s="86" t="s">
        <v>94</v>
      </c>
      <c r="AA48" s="89" t="s">
        <v>31</v>
      </c>
      <c r="AB48" s="37" t="s">
        <v>95</v>
      </c>
      <c r="AC48" s="187" t="s">
        <v>502</v>
      </c>
      <c r="AD48" s="187"/>
      <c r="AE48" s="187" t="s">
        <v>460</v>
      </c>
      <c r="AF48" s="187"/>
      <c r="AG48" s="187"/>
      <c r="AH48" s="123" t="str">
        <f>IF(AG48=1,'BU FACILITIES'!$G$24,"")</f>
        <v/>
      </c>
      <c r="AI48" s="187" t="s">
        <v>454</v>
      </c>
      <c r="AJ48" s="196">
        <v>1</v>
      </c>
      <c r="AK48" s="120">
        <f>AJ48*'BU FACILITIES'!$G$21</f>
        <v>1714.6341463414635</v>
      </c>
      <c r="AL48" s="196">
        <v>1</v>
      </c>
      <c r="AM48" s="121">
        <f>PRODUCT( AL48,'BU FACILITIES'!$G$22)</f>
        <v>870.73170731707319</v>
      </c>
      <c r="AN48" s="187"/>
      <c r="AO48" s="187"/>
      <c r="AP48" s="125" t="str">
        <f>IF(AO48=1,'BU FACILITIES'!$G$23,"")</f>
        <v/>
      </c>
      <c r="AQ48" s="187"/>
      <c r="AR48" s="187"/>
      <c r="AS48" s="122" t="str">
        <f>IF(AR48=300,AQ48*'BU FACILITIES'!$G$4, IF(AND(AR48&gt;300,AR48&lt;=500), AQ48*'BU FACILITIES'!$G$5, IF(AND(AR48&gt;500,AR48&lt;=1250), AQ48*'BU FACILITIES'!$G$6, IF(AND(AR48&gt;1250,AR48&lt;=2000),AQ48*'BU FACILITIES'!$G$7, ""))))</f>
        <v/>
      </c>
      <c r="AT48" s="187"/>
      <c r="AU48" s="187"/>
      <c r="AV48" s="122" t="str">
        <f>IF(AU48=100,AT48*'BU FACILITIES'!$G$8, IF(AND(AU48&gt;100,AU48&lt;=500), AT48*'BU FACILITIES'!$G$9, IF(AND(AU48&gt;500,AU48&lt;=800), AT48*'BU FACILITIES'!$G$10, IF(AND(AU48&gt;800,AU48&lt;=1000),AT48*'BU FACILITIES'!$G$11, IF(AND(AU48&gt;1000,AU48&lt;=1400),AT48*'BU FACILITIES'!$G$12, IF(AND(AU48&gt;1400,AU48&lt;=2000),AT48*'BU FACILITIES'!$G$13,""))))))</f>
        <v/>
      </c>
      <c r="AW48" s="187"/>
      <c r="AX48" s="187"/>
      <c r="AY48" s="122" t="str">
        <f>IF(AX48=30,AW48*'BU FACILITIES'!$G$14, IF(AX48=45, AW48*'BU FACILITIES'!$G$15, IF(AX48=450, AW48*'BU FACILITIES'!$G$16, "")))</f>
        <v/>
      </c>
      <c r="AZ48" s="187"/>
      <c r="BA48" s="187"/>
      <c r="BB48" s="187" t="str">
        <f>IF(AND(BA48&gt;=1,BA48&lt;=5),'BU FACILITIES'!$G$17, IF(AND(BA48&gt;5, BA48&lt;=10), 'BU FACILITIES'!$G$18, IF(AND(BA48&gt;10,BA48&lt;=20),'BU FACILITIES'!$G$19,"")))</f>
        <v/>
      </c>
      <c r="BC48" s="187"/>
      <c r="BD48" s="195" t="str">
        <f>IF(AND(AZ48="Modificar ductería de AA",BC48=1), 'BU FACILITIES'!$G$20, "")</f>
        <v/>
      </c>
    </row>
    <row r="49" spans="1:58" s="3" customFormat="1" ht="12.75" hidden="1" x14ac:dyDescent="0.2">
      <c r="A49" s="37" t="s">
        <v>90</v>
      </c>
      <c r="B49" s="38" t="s">
        <v>25</v>
      </c>
      <c r="C49" s="38" t="s">
        <v>26</v>
      </c>
      <c r="D49" s="38" t="s">
        <v>91</v>
      </c>
      <c r="E49" s="38" t="s">
        <v>92</v>
      </c>
      <c r="F49" s="38">
        <v>2023</v>
      </c>
      <c r="G49" s="23" t="s">
        <v>68</v>
      </c>
      <c r="H49" s="25" t="s">
        <v>68</v>
      </c>
      <c r="I49" s="23" t="s">
        <v>457</v>
      </c>
      <c r="J49" s="38" t="s">
        <v>32</v>
      </c>
      <c r="K49" s="23">
        <v>1</v>
      </c>
      <c r="L49" s="23">
        <v>6</v>
      </c>
      <c r="M49" s="23">
        <v>475</v>
      </c>
      <c r="N49" s="132">
        <v>0</v>
      </c>
      <c r="O49" s="23" t="s">
        <v>31</v>
      </c>
      <c r="P49" s="23">
        <f t="shared" si="0"/>
        <v>1200</v>
      </c>
      <c r="Q49" s="217" t="str">
        <f t="shared" si="1"/>
        <v>0</v>
      </c>
      <c r="R49" s="126" t="e">
        <f>VLOOKUP(G49,#REF!,11,0)*Q49</f>
        <v>#REF!</v>
      </c>
      <c r="S49" s="38" t="s">
        <v>33</v>
      </c>
      <c r="T49" s="38">
        <v>1620.75</v>
      </c>
      <c r="U49" s="38">
        <v>2</v>
      </c>
      <c r="V49" s="23" t="s">
        <v>31</v>
      </c>
      <c r="W49" s="23" t="s">
        <v>31</v>
      </c>
      <c r="X49" s="38" t="s">
        <v>93</v>
      </c>
      <c r="Y49" s="38">
        <v>1.5</v>
      </c>
      <c r="Z49" s="86" t="s">
        <v>94</v>
      </c>
      <c r="AA49" s="89" t="s">
        <v>31</v>
      </c>
      <c r="AB49" s="37" t="s">
        <v>95</v>
      </c>
      <c r="AC49" s="166" t="s">
        <v>507</v>
      </c>
      <c r="AD49" s="187">
        <v>4</v>
      </c>
      <c r="AE49" s="187" t="s">
        <v>402</v>
      </c>
      <c r="AF49" s="187"/>
      <c r="AG49" s="187"/>
      <c r="AH49" s="123" t="str">
        <f>IF(AG49=1,'BU FACILITIES'!$G$24,"")</f>
        <v/>
      </c>
      <c r="AI49" s="187"/>
      <c r="AJ49" s="196"/>
      <c r="AK49" s="120">
        <f>AJ49*'BU FACILITIES'!$G$21</f>
        <v>0</v>
      </c>
      <c r="AL49" s="196">
        <v>1</v>
      </c>
      <c r="AM49" s="121">
        <f>PRODUCT( AL49,'BU FACILITIES'!$G$22)</f>
        <v>870.73170731707319</v>
      </c>
      <c r="AN49" s="187"/>
      <c r="AO49" s="187"/>
      <c r="AP49" s="125" t="str">
        <f>IF(AO49=1,'BU FACILITIES'!$G$23,"")</f>
        <v/>
      </c>
      <c r="AQ49" s="187"/>
      <c r="AR49" s="187"/>
      <c r="AS49" s="122" t="str">
        <f>IF(AR49=300,AQ49*'BU FACILITIES'!$G$4, IF(AND(AR49&gt;300,AR49&lt;=500), AQ49*'BU FACILITIES'!$G$5, IF(AND(AR49&gt;500,AR49&lt;=1250), AQ49*'BU FACILITIES'!$G$6, IF(AND(AR49&gt;1250,AR49&lt;=2000),AQ49*'BU FACILITIES'!$G$7, ""))))</f>
        <v/>
      </c>
      <c r="AT49" s="187"/>
      <c r="AU49" s="187"/>
      <c r="AV49" s="122" t="str">
        <f>IF(AU49=100,AT49*'BU FACILITIES'!$G$8, IF(AND(AU49&gt;100,AU49&lt;=500), AT49*'BU FACILITIES'!$G$9, IF(AND(AU49&gt;500,AU49&lt;=800), AT49*'BU FACILITIES'!$G$10, IF(AND(AU49&gt;800,AU49&lt;=1000),AT49*'BU FACILITIES'!$G$11, IF(AND(AU49&gt;1000,AU49&lt;=1400),AT49*'BU FACILITIES'!$G$12, IF(AND(AU49&gt;1400,AU49&lt;=2000),AT49*'BU FACILITIES'!$G$13,""))))))</f>
        <v/>
      </c>
      <c r="AW49" s="187"/>
      <c r="AX49" s="187"/>
      <c r="AY49" s="122" t="str">
        <f>IF(AX49=30,AW49*'BU FACILITIES'!$G$14, IF(AX49=45, AW49*'BU FACILITIES'!$G$15, IF(AX49=450, AW49*'BU FACILITIES'!$G$16, "")))</f>
        <v/>
      </c>
      <c r="AZ49" s="187"/>
      <c r="BA49" s="187"/>
      <c r="BB49" s="187" t="str">
        <f>IF(AND(BA49&gt;=1,BA49&lt;=5),'BU FACILITIES'!$G$17, IF(AND(BA49&gt;5, BA49&lt;=10), 'BU FACILITIES'!$G$18, IF(AND(BA49&gt;10,BA49&lt;=20),'BU FACILITIES'!$G$19,"")))</f>
        <v/>
      </c>
      <c r="BC49" s="187"/>
      <c r="BD49" s="195" t="str">
        <f>IF(AND(AZ49="Modificar ductería de AA",BC49=1), 'BU FACILITIES'!$G$20, "")</f>
        <v/>
      </c>
    </row>
    <row r="50" spans="1:58" s="3" customFormat="1" ht="12.75" hidden="1" x14ac:dyDescent="0.2">
      <c r="A50" s="37" t="s">
        <v>90</v>
      </c>
      <c r="B50" s="38" t="s">
        <v>25</v>
      </c>
      <c r="C50" s="38" t="s">
        <v>26</v>
      </c>
      <c r="D50" s="38" t="s">
        <v>91</v>
      </c>
      <c r="E50" s="38" t="s">
        <v>92</v>
      </c>
      <c r="F50" s="38">
        <v>2023</v>
      </c>
      <c r="G50" s="23" t="s">
        <v>113</v>
      </c>
      <c r="H50" s="23" t="s">
        <v>113</v>
      </c>
      <c r="I50" s="80" t="s">
        <v>457</v>
      </c>
      <c r="J50" s="38" t="s">
        <v>32</v>
      </c>
      <c r="K50" s="23">
        <v>2</v>
      </c>
      <c r="L50" s="23">
        <v>8</v>
      </c>
      <c r="M50" s="23">
        <v>475</v>
      </c>
      <c r="N50" s="132">
        <v>0</v>
      </c>
      <c r="O50" s="23" t="s">
        <v>31</v>
      </c>
      <c r="P50" s="23">
        <f t="shared" si="0"/>
        <v>600</v>
      </c>
      <c r="Q50" s="217" t="str">
        <f t="shared" si="1"/>
        <v>0</v>
      </c>
      <c r="R50" s="126" t="e">
        <f>VLOOKUP(G50,#REF!,11,0)*Q50</f>
        <v>#REF!</v>
      </c>
      <c r="S50" s="38" t="s">
        <v>33</v>
      </c>
      <c r="T50" s="38">
        <v>1620.75</v>
      </c>
      <c r="U50" s="38">
        <v>4</v>
      </c>
      <c r="V50" s="23" t="s">
        <v>31</v>
      </c>
      <c r="W50" s="23" t="s">
        <v>31</v>
      </c>
      <c r="X50" s="38" t="s">
        <v>93</v>
      </c>
      <c r="Y50" s="38">
        <v>3</v>
      </c>
      <c r="Z50" s="86" t="s">
        <v>94</v>
      </c>
      <c r="AA50" s="89" t="s">
        <v>31</v>
      </c>
      <c r="AB50" s="37" t="s">
        <v>95</v>
      </c>
      <c r="AC50" s="187" t="s">
        <v>508</v>
      </c>
      <c r="AD50" s="187">
        <v>3</v>
      </c>
      <c r="AE50" s="187" t="s">
        <v>402</v>
      </c>
      <c r="AF50" s="187"/>
      <c r="AG50" s="187"/>
      <c r="AH50" s="123" t="str">
        <f>IF(AG50=1,'BU FACILITIES'!$G$24,"")</f>
        <v/>
      </c>
      <c r="AI50" s="187" t="s">
        <v>454</v>
      </c>
      <c r="AJ50" s="196">
        <v>1</v>
      </c>
      <c r="AK50" s="120">
        <f>AJ50*'BU FACILITIES'!$G$21</f>
        <v>1714.6341463414635</v>
      </c>
      <c r="AL50" s="196">
        <v>1</v>
      </c>
      <c r="AM50" s="121">
        <f>PRODUCT( AL50,'BU FACILITIES'!$G$22)</f>
        <v>870.73170731707319</v>
      </c>
      <c r="AN50" s="187"/>
      <c r="AO50" s="187"/>
      <c r="AP50" s="125" t="str">
        <f>IF(AO50=1,'BU FACILITIES'!$G$23,"")</f>
        <v/>
      </c>
      <c r="AQ50" s="187"/>
      <c r="AR50" s="187"/>
      <c r="AS50" s="122" t="str">
        <f>IF(AR50=300,AQ50*'BU FACILITIES'!$G$4, IF(AND(AR50&gt;300,AR50&lt;=500), AQ50*'BU FACILITIES'!$G$5, IF(AND(AR50&gt;500,AR50&lt;=1250), AQ50*'BU FACILITIES'!$G$6, IF(AND(AR50&gt;1250,AR50&lt;=2000),AQ50*'BU FACILITIES'!$G$7, ""))))</f>
        <v/>
      </c>
      <c r="AT50" s="187"/>
      <c r="AU50" s="187"/>
      <c r="AV50" s="122" t="str">
        <f>IF(AU50=100,AT50*'BU FACILITIES'!$G$8, IF(AND(AU50&gt;100,AU50&lt;=500), AT50*'BU FACILITIES'!$G$9, IF(AND(AU50&gt;500,AU50&lt;=800), AT50*'BU FACILITIES'!$G$10, IF(AND(AU50&gt;800,AU50&lt;=1000),AT50*'BU FACILITIES'!$G$11, IF(AND(AU50&gt;1000,AU50&lt;=1400),AT50*'BU FACILITIES'!$G$12, IF(AND(AU50&gt;1400,AU50&lt;=2000),AT50*'BU FACILITIES'!$G$13,""))))))</f>
        <v/>
      </c>
      <c r="AW50" s="187"/>
      <c r="AX50" s="187"/>
      <c r="AY50" s="122" t="str">
        <f>IF(AX50=30,AW50*'BU FACILITIES'!$G$14, IF(AX50=45, AW50*'BU FACILITIES'!$G$15, IF(AX50=450, AW50*'BU FACILITIES'!$G$16, "")))</f>
        <v/>
      </c>
      <c r="AZ50" s="187" t="s">
        <v>469</v>
      </c>
      <c r="BA50" s="187"/>
      <c r="BB50" s="187" t="str">
        <f>IF(AND(BA50&gt;=1,BA50&lt;=5),'BU FACILITIES'!$G$17, IF(AND(BA50&gt;5, BA50&lt;=10), 'BU FACILITIES'!$G$18, IF(AND(BA50&gt;10,BA50&lt;=20),'BU FACILITIES'!$G$19,"")))</f>
        <v/>
      </c>
      <c r="BC50" s="187">
        <v>1</v>
      </c>
      <c r="BD50" s="195">
        <f>IF(AND(AZ50="Modificar ductería de AA",BC50=1), 'BU FACILITIES'!$G$20, "")</f>
        <v>9756.0975609756097</v>
      </c>
      <c r="BF50" s="3" t="s">
        <v>509</v>
      </c>
    </row>
    <row r="51" spans="1:58" s="3" customFormat="1" ht="12.75" hidden="1" x14ac:dyDescent="0.2">
      <c r="A51" s="37" t="s">
        <v>90</v>
      </c>
      <c r="B51" s="38" t="s">
        <v>25</v>
      </c>
      <c r="C51" s="38" t="s">
        <v>26</v>
      </c>
      <c r="D51" s="38" t="s">
        <v>91</v>
      </c>
      <c r="E51" s="38" t="s">
        <v>92</v>
      </c>
      <c r="F51" s="38">
        <v>2023</v>
      </c>
      <c r="G51" s="23" t="s">
        <v>40</v>
      </c>
      <c r="H51" s="23" t="s">
        <v>66</v>
      </c>
      <c r="I51" s="23" t="s">
        <v>457</v>
      </c>
      <c r="J51" s="38" t="s">
        <v>32</v>
      </c>
      <c r="K51" s="23">
        <v>1</v>
      </c>
      <c r="L51" s="23">
        <v>6</v>
      </c>
      <c r="M51" s="23">
        <v>475</v>
      </c>
      <c r="N51" s="134">
        <v>2850</v>
      </c>
      <c r="O51" s="23" t="s">
        <v>31</v>
      </c>
      <c r="P51" s="23">
        <f t="shared" si="0"/>
        <v>2850</v>
      </c>
      <c r="Q51" s="217">
        <f t="shared" si="1"/>
        <v>1</v>
      </c>
      <c r="R51" s="126" t="e">
        <f>VLOOKUP(G51,#REF!,11,0)*Q51</f>
        <v>#REF!</v>
      </c>
      <c r="S51" s="38" t="s">
        <v>33</v>
      </c>
      <c r="T51" s="38">
        <v>1620.75</v>
      </c>
      <c r="U51" s="38">
        <v>2</v>
      </c>
      <c r="V51" s="23" t="s">
        <v>31</v>
      </c>
      <c r="W51" s="23" t="s">
        <v>31</v>
      </c>
      <c r="X51" s="38" t="s">
        <v>93</v>
      </c>
      <c r="Y51" s="38">
        <v>1.5</v>
      </c>
      <c r="Z51" s="86" t="s">
        <v>94</v>
      </c>
      <c r="AA51" s="89" t="s">
        <v>31</v>
      </c>
      <c r="AB51" s="37" t="s">
        <v>95</v>
      </c>
      <c r="AC51" s="187" t="s">
        <v>510</v>
      </c>
      <c r="AD51" s="187">
        <v>5</v>
      </c>
      <c r="AE51" s="187" t="s">
        <v>402</v>
      </c>
      <c r="AF51" s="187"/>
      <c r="AG51" s="187"/>
      <c r="AH51" s="123" t="str">
        <f>IF(AG51=1,'BU FACILITIES'!$G$24,"")</f>
        <v/>
      </c>
      <c r="AI51" s="187"/>
      <c r="AJ51" s="196"/>
      <c r="AK51" s="120">
        <f>AJ51*'BU FACILITIES'!$G$21</f>
        <v>0</v>
      </c>
      <c r="AL51" s="196">
        <v>1</v>
      </c>
      <c r="AM51" s="121">
        <f>PRODUCT( AL51,'BU FACILITIES'!$G$22)</f>
        <v>870.73170731707319</v>
      </c>
      <c r="AN51" s="187"/>
      <c r="AO51" s="187"/>
      <c r="AP51" s="125" t="str">
        <f>IF(AO51=1,'BU FACILITIES'!$G$23,"")</f>
        <v/>
      </c>
      <c r="AQ51" s="187"/>
      <c r="AR51" s="187"/>
      <c r="AS51" s="122" t="str">
        <f>IF(AR51=300,AQ51*'BU FACILITIES'!$G$4, IF(AND(AR51&gt;300,AR51&lt;=500), AQ51*'BU FACILITIES'!$G$5, IF(AND(AR51&gt;500,AR51&lt;=1250), AQ51*'BU FACILITIES'!$G$6, IF(AND(AR51&gt;1250,AR51&lt;=2000),AQ51*'BU FACILITIES'!$G$7, ""))))</f>
        <v/>
      </c>
      <c r="AT51" s="187"/>
      <c r="AU51" s="187"/>
      <c r="AV51" s="122" t="str">
        <f>IF(AU51=100,AT51*'BU FACILITIES'!$G$8, IF(AND(AU51&gt;100,AU51&lt;=500), AT51*'BU FACILITIES'!$G$9, IF(AND(AU51&gt;500,AU51&lt;=800), AT51*'BU FACILITIES'!$G$10, IF(AND(AU51&gt;800,AU51&lt;=1000),AT51*'BU FACILITIES'!$G$11, IF(AND(AU51&gt;1000,AU51&lt;=1400),AT51*'BU FACILITIES'!$G$12, IF(AND(AU51&gt;1400,AU51&lt;=2000),AT51*'BU FACILITIES'!$G$13,""))))))</f>
        <v/>
      </c>
      <c r="AW51" s="187"/>
      <c r="AX51" s="187"/>
      <c r="AY51" s="122" t="str">
        <f>IF(AX51=30,AW51*'BU FACILITIES'!$G$14, IF(AX51=45, AW51*'BU FACILITIES'!$G$15, IF(AX51=450, AW51*'BU FACILITIES'!$G$16, "")))</f>
        <v/>
      </c>
      <c r="AZ51" s="187"/>
      <c r="BA51" s="187"/>
      <c r="BB51" s="187" t="str">
        <f>IF(AND(BA51&gt;=1,BA51&lt;=5),'BU FACILITIES'!$G$17, IF(AND(BA51&gt;5, BA51&lt;=10), 'BU FACILITIES'!$G$18, IF(AND(BA51&gt;10,BA51&lt;=20),'BU FACILITIES'!$G$19,"")))</f>
        <v/>
      </c>
      <c r="BC51" s="187"/>
      <c r="BD51" s="195" t="str">
        <f>IF(AND(AZ51="Modificar ductería de AA",BC51=1), 'BU FACILITIES'!$G$20, "")</f>
        <v/>
      </c>
    </row>
    <row r="52" spans="1:58" s="3" customFormat="1" ht="12.75" hidden="1" x14ac:dyDescent="0.2">
      <c r="A52" s="37" t="s">
        <v>90</v>
      </c>
      <c r="B52" s="38" t="s">
        <v>25</v>
      </c>
      <c r="C52" s="38" t="s">
        <v>26</v>
      </c>
      <c r="D52" s="38" t="s">
        <v>91</v>
      </c>
      <c r="E52" s="38" t="s">
        <v>92</v>
      </c>
      <c r="F52" s="38">
        <v>2023</v>
      </c>
      <c r="G52" s="23" t="s">
        <v>43</v>
      </c>
      <c r="H52" s="23" t="s">
        <v>66</v>
      </c>
      <c r="I52" s="23" t="s">
        <v>457</v>
      </c>
      <c r="J52" s="38" t="s">
        <v>32</v>
      </c>
      <c r="K52" s="23">
        <v>1</v>
      </c>
      <c r="L52" s="23">
        <v>6</v>
      </c>
      <c r="M52" s="23">
        <v>475</v>
      </c>
      <c r="N52" s="147">
        <v>2850</v>
      </c>
      <c r="O52" s="23" t="s">
        <v>31</v>
      </c>
      <c r="P52" s="23">
        <f t="shared" si="0"/>
        <v>4050</v>
      </c>
      <c r="Q52" s="217">
        <f t="shared" si="1"/>
        <v>0.70370370370370372</v>
      </c>
      <c r="R52" s="126" t="e">
        <f>VLOOKUP(G52,#REF!,11,0)*Q52</f>
        <v>#REF!</v>
      </c>
      <c r="S52" s="38" t="s">
        <v>33</v>
      </c>
      <c r="T52" s="38">
        <v>1620.75</v>
      </c>
      <c r="U52" s="38">
        <v>2</v>
      </c>
      <c r="V52" s="23" t="s">
        <v>31</v>
      </c>
      <c r="W52" s="23" t="s">
        <v>31</v>
      </c>
      <c r="X52" s="38" t="s">
        <v>93</v>
      </c>
      <c r="Y52" s="38">
        <v>1.5</v>
      </c>
      <c r="Z52" s="86" t="s">
        <v>94</v>
      </c>
      <c r="AA52" s="89" t="s">
        <v>31</v>
      </c>
      <c r="AB52" s="37" t="s">
        <v>95</v>
      </c>
      <c r="AC52" s="187"/>
      <c r="AD52" s="187">
        <v>4</v>
      </c>
      <c r="AE52" s="187" t="s">
        <v>402</v>
      </c>
      <c r="AF52" s="187"/>
      <c r="AG52" s="187"/>
      <c r="AH52" s="123" t="str">
        <f>IF(AG52=1,'BU FACILITIES'!$G$24,"")</f>
        <v/>
      </c>
      <c r="AI52" s="187"/>
      <c r="AJ52" s="196"/>
      <c r="AK52" s="120">
        <f>AJ52*'BU FACILITIES'!$G$21</f>
        <v>0</v>
      </c>
      <c r="AL52" s="196">
        <v>1</v>
      </c>
      <c r="AM52" s="121">
        <f>PRODUCT( AL52,'BU FACILITIES'!$G$22)</f>
        <v>870.73170731707319</v>
      </c>
      <c r="AN52" s="187"/>
      <c r="AO52" s="187"/>
      <c r="AP52" s="125" t="str">
        <f>IF(AO52=1,'BU FACILITIES'!$G$23,"")</f>
        <v/>
      </c>
      <c r="AQ52" s="187"/>
      <c r="AR52" s="187"/>
      <c r="AS52" s="122" t="str">
        <f>IF(AR52=300,AQ52*'BU FACILITIES'!$G$4, IF(AND(AR52&gt;300,AR52&lt;=500), AQ52*'BU FACILITIES'!$G$5, IF(AND(AR52&gt;500,AR52&lt;=1250), AQ52*'BU FACILITIES'!$G$6, IF(AND(AR52&gt;1250,AR52&lt;=2000),AQ52*'BU FACILITIES'!$G$7, ""))))</f>
        <v/>
      </c>
      <c r="AT52" s="187"/>
      <c r="AU52" s="187"/>
      <c r="AV52" s="122" t="str">
        <f>IF(AU52=100,AT52*'BU FACILITIES'!$G$8, IF(AND(AU52&gt;100,AU52&lt;=500), AT52*'BU FACILITIES'!$G$9, IF(AND(AU52&gt;500,AU52&lt;=800), AT52*'BU FACILITIES'!$G$10, IF(AND(AU52&gt;800,AU52&lt;=1000),AT52*'BU FACILITIES'!$G$11, IF(AND(AU52&gt;1000,AU52&lt;=1400),AT52*'BU FACILITIES'!$G$12, IF(AND(AU52&gt;1400,AU52&lt;=2000),AT52*'BU FACILITIES'!$G$13,""))))))</f>
        <v/>
      </c>
      <c r="AW52" s="187"/>
      <c r="AX52" s="187"/>
      <c r="AY52" s="122" t="str">
        <f>IF(AX52=30,AW52*'BU FACILITIES'!$G$14, IF(AX52=45, AW52*'BU FACILITIES'!$G$15, IF(AX52=450, AW52*'BU FACILITIES'!$G$16, "")))</f>
        <v/>
      </c>
      <c r="AZ52" s="187"/>
      <c r="BA52" s="187"/>
      <c r="BB52" s="187" t="str">
        <f>IF(AND(BA52&gt;=1,BA52&lt;=5),'BU FACILITIES'!$G$17, IF(AND(BA52&gt;5, BA52&lt;=10), 'BU FACILITIES'!$G$18, IF(AND(BA52&gt;10,BA52&lt;=20),'BU FACILITIES'!$G$19,"")))</f>
        <v/>
      </c>
      <c r="BC52" s="187"/>
      <c r="BD52" s="195" t="str">
        <f>IF(AND(AZ52="Modificar ductería de AA",BC52=1), 'BU FACILITIES'!$G$20, "")</f>
        <v/>
      </c>
    </row>
    <row r="53" spans="1:58" s="3" customFormat="1" ht="12.75" hidden="1" x14ac:dyDescent="0.2">
      <c r="A53" s="37" t="s">
        <v>90</v>
      </c>
      <c r="B53" s="38" t="s">
        <v>25</v>
      </c>
      <c r="C53" s="38" t="s">
        <v>26</v>
      </c>
      <c r="D53" s="38" t="s">
        <v>91</v>
      </c>
      <c r="E53" s="38" t="s">
        <v>92</v>
      </c>
      <c r="F53" s="38">
        <v>2023</v>
      </c>
      <c r="G53" s="23" t="s">
        <v>114</v>
      </c>
      <c r="H53" s="23" t="s">
        <v>66</v>
      </c>
      <c r="I53" s="23" t="s">
        <v>457</v>
      </c>
      <c r="J53" s="38" t="s">
        <v>32</v>
      </c>
      <c r="K53" s="23">
        <v>1</v>
      </c>
      <c r="L53" s="23">
        <v>6</v>
      </c>
      <c r="M53" s="23">
        <v>475</v>
      </c>
      <c r="N53" s="134">
        <v>2850</v>
      </c>
      <c r="O53" s="23" t="s">
        <v>31</v>
      </c>
      <c r="P53" s="23">
        <f t="shared" si="0"/>
        <v>4650</v>
      </c>
      <c r="Q53" s="217">
        <f t="shared" si="1"/>
        <v>0.61290322580645162</v>
      </c>
      <c r="R53" s="126" t="e">
        <f>VLOOKUP(G53,#REF!,11,0)*Q53</f>
        <v>#REF!</v>
      </c>
      <c r="S53" s="38" t="s">
        <v>33</v>
      </c>
      <c r="T53" s="38">
        <v>1620.75</v>
      </c>
      <c r="U53" s="38">
        <v>2</v>
      </c>
      <c r="V53" s="23" t="s">
        <v>31</v>
      </c>
      <c r="W53" s="23" t="s">
        <v>31</v>
      </c>
      <c r="X53" s="38" t="s">
        <v>93</v>
      </c>
      <c r="Y53" s="38">
        <v>1.5</v>
      </c>
      <c r="Z53" s="86" t="s">
        <v>94</v>
      </c>
      <c r="AA53" s="89" t="s">
        <v>31</v>
      </c>
      <c r="AB53" s="37" t="s">
        <v>95</v>
      </c>
      <c r="AC53" s="187" t="s">
        <v>511</v>
      </c>
      <c r="AD53" s="187">
        <v>4</v>
      </c>
      <c r="AE53" s="187" t="s">
        <v>460</v>
      </c>
      <c r="AF53" s="187"/>
      <c r="AG53" s="187"/>
      <c r="AH53" s="123" t="str">
        <f>IF(AG53=1,'BU FACILITIES'!$G$24,"")</f>
        <v/>
      </c>
      <c r="AI53" s="187"/>
      <c r="AJ53" s="196"/>
      <c r="AK53" s="120">
        <f>AJ53*'BU FACILITIES'!$G$21</f>
        <v>0</v>
      </c>
      <c r="AL53" s="196">
        <v>1</v>
      </c>
      <c r="AM53" s="121">
        <f>PRODUCT( AL53,'BU FACILITIES'!$G$22)</f>
        <v>870.73170731707319</v>
      </c>
      <c r="AN53" s="187"/>
      <c r="AO53" s="187"/>
      <c r="AP53" s="125" t="str">
        <f>IF(AO53=1,'BU FACILITIES'!$G$23,"")</f>
        <v/>
      </c>
      <c r="AQ53" s="187"/>
      <c r="AR53" s="187"/>
      <c r="AS53" s="122" t="str">
        <f>IF(AR53=300,AQ53*'BU FACILITIES'!$G$4, IF(AND(AR53&gt;300,AR53&lt;=500), AQ53*'BU FACILITIES'!$G$5, IF(AND(AR53&gt;500,AR53&lt;=1250), AQ53*'BU FACILITIES'!$G$6, IF(AND(AR53&gt;1250,AR53&lt;=2000),AQ53*'BU FACILITIES'!$G$7, ""))))</f>
        <v/>
      </c>
      <c r="AT53" s="187"/>
      <c r="AU53" s="187"/>
      <c r="AV53" s="122" t="str">
        <f>IF(AU53=100,AT53*'BU FACILITIES'!$G$8, IF(AND(AU53&gt;100,AU53&lt;=500), AT53*'BU FACILITIES'!$G$9, IF(AND(AU53&gt;500,AU53&lt;=800), AT53*'BU FACILITIES'!$G$10, IF(AND(AU53&gt;800,AU53&lt;=1000),AT53*'BU FACILITIES'!$G$11, IF(AND(AU53&gt;1000,AU53&lt;=1400),AT53*'BU FACILITIES'!$G$12, IF(AND(AU53&gt;1400,AU53&lt;=2000),AT53*'BU FACILITIES'!$G$13,""))))))</f>
        <v/>
      </c>
      <c r="AW53" s="187"/>
      <c r="AX53" s="187"/>
      <c r="AY53" s="122" t="str">
        <f>IF(AX53=30,AW53*'BU FACILITIES'!$G$14, IF(AX53=45, AW53*'BU FACILITIES'!$G$15, IF(AX53=450, AW53*'BU FACILITIES'!$G$16, "")))</f>
        <v/>
      </c>
      <c r="AZ53" s="187"/>
      <c r="BA53" s="187"/>
      <c r="BB53" s="187" t="str">
        <f>IF(AND(BA53&gt;=1,BA53&lt;=5),'BU FACILITIES'!$G$17, IF(AND(BA53&gt;5, BA53&lt;=10), 'BU FACILITIES'!$G$18, IF(AND(BA53&gt;10,BA53&lt;=20),'BU FACILITIES'!$G$19,"")))</f>
        <v/>
      </c>
      <c r="BC53" s="187"/>
      <c r="BD53" s="195" t="str">
        <f>IF(AND(AZ53="Modificar ductería de AA",BC53=1), 'BU FACILITIES'!$G$20, "")</f>
        <v/>
      </c>
    </row>
    <row r="54" spans="1:58" s="3" customFormat="1" ht="12.75" hidden="1" x14ac:dyDescent="0.2">
      <c r="A54" s="37" t="s">
        <v>90</v>
      </c>
      <c r="B54" s="38" t="s">
        <v>25</v>
      </c>
      <c r="C54" s="38" t="s">
        <v>26</v>
      </c>
      <c r="D54" s="38" t="s">
        <v>91</v>
      </c>
      <c r="E54" s="38" t="s">
        <v>92</v>
      </c>
      <c r="F54" s="38">
        <v>2023</v>
      </c>
      <c r="G54" s="23" t="s">
        <v>115</v>
      </c>
      <c r="H54" s="23" t="s">
        <v>66</v>
      </c>
      <c r="I54" s="23" t="s">
        <v>457</v>
      </c>
      <c r="J54" s="38" t="s">
        <v>32</v>
      </c>
      <c r="K54" s="23">
        <v>1</v>
      </c>
      <c r="L54" s="23">
        <v>6</v>
      </c>
      <c r="M54" s="23">
        <v>475</v>
      </c>
      <c r="N54" s="134">
        <v>2850</v>
      </c>
      <c r="O54" s="23" t="s">
        <v>31</v>
      </c>
      <c r="P54" s="23">
        <f t="shared" si="0"/>
        <v>2850</v>
      </c>
      <c r="Q54" s="217">
        <f t="shared" si="1"/>
        <v>1</v>
      </c>
      <c r="R54" s="126" t="e">
        <f>VLOOKUP(G54,#REF!,11,0)*Q54</f>
        <v>#REF!</v>
      </c>
      <c r="S54" s="38" t="s">
        <v>33</v>
      </c>
      <c r="T54" s="38">
        <v>1620.75</v>
      </c>
      <c r="U54" s="38">
        <v>2</v>
      </c>
      <c r="V54" s="23" t="s">
        <v>31</v>
      </c>
      <c r="W54" s="23" t="s">
        <v>31</v>
      </c>
      <c r="X54" s="44" t="s">
        <v>93</v>
      </c>
      <c r="Y54" s="37">
        <v>1.5</v>
      </c>
      <c r="Z54" s="86" t="s">
        <v>94</v>
      </c>
      <c r="AA54" s="89" t="s">
        <v>31</v>
      </c>
      <c r="AB54" s="37" t="s">
        <v>95</v>
      </c>
      <c r="AC54" s="187" t="s">
        <v>512</v>
      </c>
      <c r="AD54" s="187">
        <v>4</v>
      </c>
      <c r="AE54" s="187" t="s">
        <v>402</v>
      </c>
      <c r="AF54" s="187"/>
      <c r="AG54" s="187"/>
      <c r="AH54" s="123" t="str">
        <f>IF(AG54=1,'BU FACILITIES'!$G$24,"")</f>
        <v/>
      </c>
      <c r="AI54" s="187"/>
      <c r="AJ54" s="196"/>
      <c r="AK54" s="120">
        <f>AJ54*'BU FACILITIES'!$G$21</f>
        <v>0</v>
      </c>
      <c r="AL54" s="196">
        <v>1</v>
      </c>
      <c r="AM54" s="121">
        <f>PRODUCT( AL54,'BU FACILITIES'!$G$22)</f>
        <v>870.73170731707319</v>
      </c>
      <c r="AN54" s="187"/>
      <c r="AO54" s="187"/>
      <c r="AP54" s="125" t="str">
        <f>IF(AO54=1,'BU FACILITIES'!$G$23,"")</f>
        <v/>
      </c>
      <c r="AQ54" s="187"/>
      <c r="AR54" s="187"/>
      <c r="AS54" s="122" t="str">
        <f>IF(AR54=300,AQ54*'BU FACILITIES'!$G$4, IF(AND(AR54&gt;300,AR54&lt;=500), AQ54*'BU FACILITIES'!$G$5, IF(AND(AR54&gt;500,AR54&lt;=1250), AQ54*'BU FACILITIES'!$G$6, IF(AND(AR54&gt;1250,AR54&lt;=2000),AQ54*'BU FACILITIES'!$G$7, ""))))</f>
        <v/>
      </c>
      <c r="AT54" s="187"/>
      <c r="AU54" s="187"/>
      <c r="AV54" s="122" t="str">
        <f>IF(AU54=100,AT54*'BU FACILITIES'!$G$8, IF(AND(AU54&gt;100,AU54&lt;=500), AT54*'BU FACILITIES'!$G$9, IF(AND(AU54&gt;500,AU54&lt;=800), AT54*'BU FACILITIES'!$G$10, IF(AND(AU54&gt;800,AU54&lt;=1000),AT54*'BU FACILITIES'!$G$11, IF(AND(AU54&gt;1000,AU54&lt;=1400),AT54*'BU FACILITIES'!$G$12, IF(AND(AU54&gt;1400,AU54&lt;=2000),AT54*'BU FACILITIES'!$G$13,""))))))</f>
        <v/>
      </c>
      <c r="AW54" s="187"/>
      <c r="AX54" s="187"/>
      <c r="AY54" s="122" t="str">
        <f>IF(AX54=30,AW54*'BU FACILITIES'!$G$14, IF(AX54=45, AW54*'BU FACILITIES'!$G$15, IF(AX54=450, AW54*'BU FACILITIES'!$G$16, "")))</f>
        <v/>
      </c>
      <c r="AZ54" s="187"/>
      <c r="BA54" s="187"/>
      <c r="BB54" s="187" t="str">
        <f>IF(AND(BA54&gt;=1,BA54&lt;=5),'BU FACILITIES'!$G$17, IF(AND(BA54&gt;5, BA54&lt;=10), 'BU FACILITIES'!$G$18, IF(AND(BA54&gt;10,BA54&lt;=20),'BU FACILITIES'!$G$19,"")))</f>
        <v/>
      </c>
      <c r="BC54" s="187"/>
      <c r="BD54" s="195" t="str">
        <f>IF(AND(AZ54="Modificar ductería de AA",BC54=1), 'BU FACILITIES'!$G$20, "")</f>
        <v/>
      </c>
    </row>
    <row r="55" spans="1:58" s="3" customFormat="1" ht="12.75" hidden="1" x14ac:dyDescent="0.2">
      <c r="A55" s="37" t="s">
        <v>90</v>
      </c>
      <c r="B55" s="38" t="s">
        <v>25</v>
      </c>
      <c r="C55" s="38" t="s">
        <v>26</v>
      </c>
      <c r="D55" s="38" t="s">
        <v>91</v>
      </c>
      <c r="E55" s="38" t="s">
        <v>92</v>
      </c>
      <c r="F55" s="38">
        <v>2023</v>
      </c>
      <c r="G55" s="23" t="s">
        <v>37</v>
      </c>
      <c r="H55" s="23" t="s">
        <v>66</v>
      </c>
      <c r="I55" s="23" t="s">
        <v>457</v>
      </c>
      <c r="J55" s="38" t="s">
        <v>32</v>
      </c>
      <c r="K55" s="23">
        <v>1</v>
      </c>
      <c r="L55" s="23">
        <v>6</v>
      </c>
      <c r="M55" s="23">
        <v>475</v>
      </c>
      <c r="N55" s="132">
        <v>0</v>
      </c>
      <c r="O55" s="23" t="s">
        <v>31</v>
      </c>
      <c r="P55" s="23">
        <f t="shared" si="0"/>
        <v>1800</v>
      </c>
      <c r="Q55" s="217" t="str">
        <f t="shared" si="1"/>
        <v>0</v>
      </c>
      <c r="R55" s="126" t="e">
        <f>VLOOKUP(G55,#REF!,11,0)*Q55</f>
        <v>#REF!</v>
      </c>
      <c r="S55" s="38" t="s">
        <v>33</v>
      </c>
      <c r="T55" s="38">
        <v>1620.75</v>
      </c>
      <c r="U55" s="38">
        <v>2</v>
      </c>
      <c r="V55" s="23" t="s">
        <v>31</v>
      </c>
      <c r="W55" s="23" t="s">
        <v>31</v>
      </c>
      <c r="X55" s="44" t="s">
        <v>93</v>
      </c>
      <c r="Y55" s="37">
        <v>1.5</v>
      </c>
      <c r="Z55" s="86" t="s">
        <v>94</v>
      </c>
      <c r="AA55" s="89" t="s">
        <v>31</v>
      </c>
      <c r="AB55" s="37" t="s">
        <v>95</v>
      </c>
      <c r="AC55" s="187"/>
      <c r="AD55" s="187">
        <v>4</v>
      </c>
      <c r="AE55" s="187" t="s">
        <v>402</v>
      </c>
      <c r="AF55" s="187"/>
      <c r="AG55" s="187"/>
      <c r="AH55" s="123" t="str">
        <f>IF(AG55=1,'BU FACILITIES'!$G$24,"")</f>
        <v/>
      </c>
      <c r="AI55" s="187"/>
      <c r="AJ55" s="196"/>
      <c r="AK55" s="120">
        <f>AJ55*'BU FACILITIES'!$G$21</f>
        <v>0</v>
      </c>
      <c r="AL55" s="196">
        <v>1</v>
      </c>
      <c r="AM55" s="121">
        <f>PRODUCT( AL55,'BU FACILITIES'!$G$22)</f>
        <v>870.73170731707319</v>
      </c>
      <c r="AN55" s="187"/>
      <c r="AO55" s="187"/>
      <c r="AP55" s="125" t="str">
        <f>IF(AO55=1,'BU FACILITIES'!$G$23,"")</f>
        <v/>
      </c>
      <c r="AQ55" s="187"/>
      <c r="AR55" s="187"/>
      <c r="AS55" s="122" t="str">
        <f>IF(AR55=300,AQ55*'BU FACILITIES'!$G$4, IF(AND(AR55&gt;300,AR55&lt;=500), AQ55*'BU FACILITIES'!$G$5, IF(AND(AR55&gt;500,AR55&lt;=1250), AQ55*'BU FACILITIES'!$G$6, IF(AND(AR55&gt;1250,AR55&lt;=2000),AQ55*'BU FACILITIES'!$G$7, ""))))</f>
        <v/>
      </c>
      <c r="AT55" s="187"/>
      <c r="AU55" s="187"/>
      <c r="AV55" s="122" t="str">
        <f>IF(AU55=100,AT55*'BU FACILITIES'!$G$8, IF(AND(AU55&gt;100,AU55&lt;=500), AT55*'BU FACILITIES'!$G$9, IF(AND(AU55&gt;500,AU55&lt;=800), AT55*'BU FACILITIES'!$G$10, IF(AND(AU55&gt;800,AU55&lt;=1000),AT55*'BU FACILITIES'!$G$11, IF(AND(AU55&gt;1000,AU55&lt;=1400),AT55*'BU FACILITIES'!$G$12, IF(AND(AU55&gt;1400,AU55&lt;=2000),AT55*'BU FACILITIES'!$G$13,""))))))</f>
        <v/>
      </c>
      <c r="AW55" s="187"/>
      <c r="AX55" s="187"/>
      <c r="AY55" s="122" t="str">
        <f>IF(AX55=30,AW55*'BU FACILITIES'!$G$14, IF(AX55=45, AW55*'BU FACILITIES'!$G$15, IF(AX55=450, AW55*'BU FACILITIES'!$G$16, "")))</f>
        <v/>
      </c>
      <c r="AZ55" s="187"/>
      <c r="BA55" s="187"/>
      <c r="BB55" s="187" t="str">
        <f>IF(AND(BA55&gt;=1,BA55&lt;=5),'BU FACILITIES'!$G$17, IF(AND(BA55&gt;5, BA55&lt;=10), 'BU FACILITIES'!$G$18, IF(AND(BA55&gt;10,BA55&lt;=20),'BU FACILITIES'!$G$19,"")))</f>
        <v/>
      </c>
      <c r="BC55" s="187"/>
      <c r="BD55" s="195" t="str">
        <f>IF(AND(AZ55="Modificar ductería de AA",BC55=1), 'BU FACILITIES'!$G$20, "")</f>
        <v/>
      </c>
    </row>
    <row r="56" spans="1:58" s="3" customFormat="1" ht="12.75" hidden="1" x14ac:dyDescent="0.2">
      <c r="A56" s="37" t="s">
        <v>90</v>
      </c>
      <c r="B56" s="38" t="s">
        <v>25</v>
      </c>
      <c r="C56" s="38" t="s">
        <v>26</v>
      </c>
      <c r="D56" s="38" t="s">
        <v>91</v>
      </c>
      <c r="E56" s="38" t="s">
        <v>92</v>
      </c>
      <c r="F56" s="38">
        <v>2023</v>
      </c>
      <c r="G56" s="23" t="s">
        <v>117</v>
      </c>
      <c r="H56" s="23" t="s">
        <v>66</v>
      </c>
      <c r="I56" s="23" t="s">
        <v>457</v>
      </c>
      <c r="J56" s="38" t="s">
        <v>32</v>
      </c>
      <c r="K56" s="23">
        <v>2</v>
      </c>
      <c r="L56" s="23">
        <v>10</v>
      </c>
      <c r="M56" s="23">
        <v>475</v>
      </c>
      <c r="N56" s="134">
        <v>4750</v>
      </c>
      <c r="O56" s="23" t="s">
        <v>31</v>
      </c>
      <c r="P56" s="23">
        <f t="shared" si="0"/>
        <v>4750</v>
      </c>
      <c r="Q56" s="217">
        <f t="shared" si="1"/>
        <v>1</v>
      </c>
      <c r="R56" s="126" t="e">
        <f>VLOOKUP(G56,#REF!,11,0)*Q56</f>
        <v>#REF!</v>
      </c>
      <c r="S56" s="38" t="s">
        <v>33</v>
      </c>
      <c r="T56" s="38">
        <v>1620.75</v>
      </c>
      <c r="U56" s="38">
        <v>4</v>
      </c>
      <c r="V56" s="23" t="s">
        <v>31</v>
      </c>
      <c r="W56" s="23" t="s">
        <v>31</v>
      </c>
      <c r="X56" s="39" t="s">
        <v>93</v>
      </c>
      <c r="Y56" s="38">
        <v>3</v>
      </c>
      <c r="Z56" s="86" t="s">
        <v>94</v>
      </c>
      <c r="AA56" s="89" t="s">
        <v>31</v>
      </c>
      <c r="AB56" s="37" t="s">
        <v>95</v>
      </c>
      <c r="AC56" s="187" t="s">
        <v>513</v>
      </c>
      <c r="AD56" s="187">
        <v>1</v>
      </c>
      <c r="AE56" s="187" t="s">
        <v>402</v>
      </c>
      <c r="AF56" s="187"/>
      <c r="AG56" s="187"/>
      <c r="AH56" s="123" t="str">
        <f>IF(AG56=1,'BU FACILITIES'!$G$24,"")</f>
        <v/>
      </c>
      <c r="AI56" s="187"/>
      <c r="AJ56" s="196"/>
      <c r="AK56" s="120">
        <f>AJ56*'BU FACILITIES'!$G$21</f>
        <v>0</v>
      </c>
      <c r="AL56" s="196">
        <v>1</v>
      </c>
      <c r="AM56" s="121">
        <f>PRODUCT( AL56,'BU FACILITIES'!$G$22)</f>
        <v>870.73170731707319</v>
      </c>
      <c r="AN56" s="187"/>
      <c r="AO56" s="187"/>
      <c r="AP56" s="125" t="str">
        <f>IF(AO56=1,'BU FACILITIES'!$G$23,"")</f>
        <v/>
      </c>
      <c r="AQ56" s="187"/>
      <c r="AR56" s="187"/>
      <c r="AS56" s="122" t="str">
        <f>IF(AR56=300,AQ56*'BU FACILITIES'!$G$4, IF(AND(AR56&gt;300,AR56&lt;=500), AQ56*'BU FACILITIES'!$G$5, IF(AND(AR56&gt;500,AR56&lt;=1250), AQ56*'BU FACILITIES'!$G$6, IF(AND(AR56&gt;1250,AR56&lt;=2000),AQ56*'BU FACILITIES'!$G$7, ""))))</f>
        <v/>
      </c>
      <c r="AT56" s="187"/>
      <c r="AU56" s="187"/>
      <c r="AV56" s="122" t="str">
        <f>IF(AU56=100,AT56*'BU FACILITIES'!$G$8, IF(AND(AU56&gt;100,AU56&lt;=500), AT56*'BU FACILITIES'!$G$9, IF(AND(AU56&gt;500,AU56&lt;=800), AT56*'BU FACILITIES'!$G$10, IF(AND(AU56&gt;800,AU56&lt;=1000),AT56*'BU FACILITIES'!$G$11, IF(AND(AU56&gt;1000,AU56&lt;=1400),AT56*'BU FACILITIES'!$G$12, IF(AND(AU56&gt;1400,AU56&lt;=2000),AT56*'BU FACILITIES'!$G$13,""))))))</f>
        <v/>
      </c>
      <c r="AW56" s="187"/>
      <c r="AX56" s="187"/>
      <c r="AY56" s="122" t="str">
        <f>IF(AX56=30,AW56*'BU FACILITIES'!$G$14, IF(AX56=45, AW56*'BU FACILITIES'!$G$15, IF(AX56=450, AW56*'BU FACILITIES'!$G$16, "")))</f>
        <v/>
      </c>
      <c r="AZ56" s="187"/>
      <c r="BA56" s="187"/>
      <c r="BB56" s="187" t="str">
        <f>IF(AND(BA56&gt;=1,BA56&lt;=5),'BU FACILITIES'!$G$17, IF(AND(BA56&gt;5, BA56&lt;=10), 'BU FACILITIES'!$G$18, IF(AND(BA56&gt;10,BA56&lt;=20),'BU FACILITIES'!$G$19,"")))</f>
        <v/>
      </c>
      <c r="BC56" s="187"/>
      <c r="BD56" s="195" t="str">
        <f>IF(AND(AZ56="Modificar ductería de AA",BC56=1), 'BU FACILITIES'!$G$20, "")</f>
        <v/>
      </c>
    </row>
    <row r="57" spans="1:58" s="3" customFormat="1" ht="12.75" hidden="1" x14ac:dyDescent="0.2">
      <c r="A57" s="37" t="s">
        <v>90</v>
      </c>
      <c r="B57" s="38" t="s">
        <v>25</v>
      </c>
      <c r="C57" s="38" t="s">
        <v>26</v>
      </c>
      <c r="D57" s="38" t="s">
        <v>91</v>
      </c>
      <c r="E57" s="38" t="s">
        <v>92</v>
      </c>
      <c r="F57" s="38">
        <v>2023</v>
      </c>
      <c r="G57" s="23" t="s">
        <v>118</v>
      </c>
      <c r="H57" s="23" t="s">
        <v>66</v>
      </c>
      <c r="I57" s="23" t="s">
        <v>457</v>
      </c>
      <c r="J57" s="38" t="s">
        <v>32</v>
      </c>
      <c r="K57" s="23">
        <v>1</v>
      </c>
      <c r="L57" s="23">
        <v>6</v>
      </c>
      <c r="M57" s="23">
        <v>475</v>
      </c>
      <c r="N57" s="134">
        <v>2850</v>
      </c>
      <c r="O57" s="23" t="s">
        <v>31</v>
      </c>
      <c r="P57" s="23">
        <f t="shared" si="0"/>
        <v>2850</v>
      </c>
      <c r="Q57" s="217">
        <f t="shared" si="1"/>
        <v>1</v>
      </c>
      <c r="R57" s="126" t="e">
        <f>VLOOKUP(G57,#REF!,11,0)*Q57</f>
        <v>#REF!</v>
      </c>
      <c r="S57" s="38" t="s">
        <v>33</v>
      </c>
      <c r="T57" s="38">
        <v>1620.75</v>
      </c>
      <c r="U57" s="38">
        <v>2</v>
      </c>
      <c r="V57" s="23" t="s">
        <v>31</v>
      </c>
      <c r="W57" s="23" t="s">
        <v>31</v>
      </c>
      <c r="X57" s="44" t="s">
        <v>93</v>
      </c>
      <c r="Y57" s="37">
        <v>1.5</v>
      </c>
      <c r="Z57" s="86" t="s">
        <v>94</v>
      </c>
      <c r="AA57" s="89" t="s">
        <v>31</v>
      </c>
      <c r="AB57" s="37" t="s">
        <v>95</v>
      </c>
      <c r="AC57" s="187" t="s">
        <v>513</v>
      </c>
      <c r="AD57" s="187">
        <v>1</v>
      </c>
      <c r="AE57" s="187" t="s">
        <v>402</v>
      </c>
      <c r="AF57" s="187"/>
      <c r="AG57" s="187"/>
      <c r="AH57" s="123" t="str">
        <f>IF(AG57=1,'BU FACILITIES'!$G$24,"")</f>
        <v/>
      </c>
      <c r="AI57" s="187"/>
      <c r="AJ57" s="196"/>
      <c r="AK57" s="120">
        <f>AJ57*'BU FACILITIES'!$G$21</f>
        <v>0</v>
      </c>
      <c r="AL57" s="196">
        <v>1</v>
      </c>
      <c r="AM57" s="121">
        <f>PRODUCT( AL57,'BU FACILITIES'!$G$22)</f>
        <v>870.73170731707319</v>
      </c>
      <c r="AN57" s="187"/>
      <c r="AO57" s="187"/>
      <c r="AP57" s="125" t="str">
        <f>IF(AO57=1,'BU FACILITIES'!$G$23,"")</f>
        <v/>
      </c>
      <c r="AQ57" s="187"/>
      <c r="AR57" s="187"/>
      <c r="AS57" s="122" t="str">
        <f>IF(AR57=300,AQ57*'BU FACILITIES'!$G$4, IF(AND(AR57&gt;300,AR57&lt;=500), AQ57*'BU FACILITIES'!$G$5, IF(AND(AR57&gt;500,AR57&lt;=1250), AQ57*'BU FACILITIES'!$G$6, IF(AND(AR57&gt;1250,AR57&lt;=2000),AQ57*'BU FACILITIES'!$G$7, ""))))</f>
        <v/>
      </c>
      <c r="AT57" s="187"/>
      <c r="AU57" s="187"/>
      <c r="AV57" s="122" t="str">
        <f>IF(AU57=100,AT57*'BU FACILITIES'!$G$8, IF(AND(AU57&gt;100,AU57&lt;=500), AT57*'BU FACILITIES'!$G$9, IF(AND(AU57&gt;500,AU57&lt;=800), AT57*'BU FACILITIES'!$G$10, IF(AND(AU57&gt;800,AU57&lt;=1000),AT57*'BU FACILITIES'!$G$11, IF(AND(AU57&gt;1000,AU57&lt;=1400),AT57*'BU FACILITIES'!$G$12, IF(AND(AU57&gt;1400,AU57&lt;=2000),AT57*'BU FACILITIES'!$G$13,""))))))</f>
        <v/>
      </c>
      <c r="AW57" s="187"/>
      <c r="AX57" s="187"/>
      <c r="AY57" s="122" t="str">
        <f>IF(AX57=30,AW57*'BU FACILITIES'!$G$14, IF(AX57=45, AW57*'BU FACILITIES'!$G$15, IF(AX57=450, AW57*'BU FACILITIES'!$G$16, "")))</f>
        <v/>
      </c>
      <c r="AZ57" s="187"/>
      <c r="BA57" s="187"/>
      <c r="BB57" s="187" t="str">
        <f>IF(AND(BA57&gt;=1,BA57&lt;=5),'BU FACILITIES'!$G$17, IF(AND(BA57&gt;5, BA57&lt;=10), 'BU FACILITIES'!$G$18, IF(AND(BA57&gt;10,BA57&lt;=20),'BU FACILITIES'!$G$19,"")))</f>
        <v/>
      </c>
      <c r="BC57" s="187"/>
      <c r="BD57" s="195" t="str">
        <f>IF(AND(AZ57="Modificar ductería de AA",BC57=1), 'BU FACILITIES'!$G$20, "")</f>
        <v/>
      </c>
      <c r="BE57" s="199" t="s">
        <v>514</v>
      </c>
    </row>
    <row r="58" spans="1:58" s="3" customFormat="1" ht="12.75" hidden="1" x14ac:dyDescent="0.2">
      <c r="A58" s="37" t="s">
        <v>90</v>
      </c>
      <c r="B58" s="38" t="s">
        <v>25</v>
      </c>
      <c r="C58" s="38" t="s">
        <v>26</v>
      </c>
      <c r="D58" s="38" t="s">
        <v>91</v>
      </c>
      <c r="E58" s="38" t="s">
        <v>92</v>
      </c>
      <c r="F58" s="38">
        <v>2023</v>
      </c>
      <c r="G58" s="23" t="s">
        <v>119</v>
      </c>
      <c r="H58" s="23" t="s">
        <v>66</v>
      </c>
      <c r="I58" s="23" t="s">
        <v>457</v>
      </c>
      <c r="J58" s="38" t="s">
        <v>32</v>
      </c>
      <c r="K58" s="23">
        <v>1</v>
      </c>
      <c r="L58" s="23">
        <v>6</v>
      </c>
      <c r="M58" s="23">
        <v>475</v>
      </c>
      <c r="N58" s="132">
        <v>0</v>
      </c>
      <c r="O58" s="23" t="s">
        <v>31</v>
      </c>
      <c r="P58" s="23">
        <f t="shared" si="0"/>
        <v>0</v>
      </c>
      <c r="Q58" s="217" t="str">
        <f t="shared" si="1"/>
        <v>0</v>
      </c>
      <c r="R58" s="126" t="e">
        <f>VLOOKUP(G58,#REF!,11,0)*Q58</f>
        <v>#REF!</v>
      </c>
      <c r="S58" s="38" t="s">
        <v>33</v>
      </c>
      <c r="T58" s="38">
        <v>1620.75</v>
      </c>
      <c r="U58" s="38">
        <v>2</v>
      </c>
      <c r="V58" s="23" t="s">
        <v>31</v>
      </c>
      <c r="W58" s="23" t="s">
        <v>31</v>
      </c>
      <c r="X58" s="44" t="s">
        <v>93</v>
      </c>
      <c r="Y58" s="37">
        <v>1.5</v>
      </c>
      <c r="Z58" s="86" t="s">
        <v>94</v>
      </c>
      <c r="AA58" s="89" t="s">
        <v>31</v>
      </c>
      <c r="AB58" s="37" t="s">
        <v>95</v>
      </c>
      <c r="AC58" s="187"/>
      <c r="AD58" s="187">
        <v>4</v>
      </c>
      <c r="AE58" s="187" t="s">
        <v>402</v>
      </c>
      <c r="AF58" s="187"/>
      <c r="AG58" s="187"/>
      <c r="AH58" s="123" t="str">
        <f>IF(AG58=1,'BU FACILITIES'!$G$24,"")</f>
        <v/>
      </c>
      <c r="AI58" s="187" t="s">
        <v>454</v>
      </c>
      <c r="AJ58" s="196">
        <v>1</v>
      </c>
      <c r="AK58" s="120">
        <f>AJ58*'BU FACILITIES'!$G$21</f>
        <v>1714.6341463414635</v>
      </c>
      <c r="AL58" s="196">
        <v>1</v>
      </c>
      <c r="AM58" s="121">
        <f>PRODUCT( AL58,'BU FACILITIES'!$G$22)</f>
        <v>870.73170731707319</v>
      </c>
      <c r="AN58" s="187"/>
      <c r="AO58" s="187"/>
      <c r="AP58" s="125" t="str">
        <f>IF(AO58=1,'BU FACILITIES'!$G$23,"")</f>
        <v/>
      </c>
      <c r="AQ58" s="187"/>
      <c r="AR58" s="187"/>
      <c r="AS58" s="122" t="str">
        <f>IF(AR58=300,AQ58*'BU FACILITIES'!$G$4, IF(AND(AR58&gt;300,AR58&lt;=500), AQ58*'BU FACILITIES'!$G$5, IF(AND(AR58&gt;500,AR58&lt;=1250), AQ58*'BU FACILITIES'!$G$6, IF(AND(AR58&gt;1250,AR58&lt;=2000),AQ58*'BU FACILITIES'!$G$7, ""))))</f>
        <v/>
      </c>
      <c r="AT58" s="187"/>
      <c r="AU58" s="187"/>
      <c r="AV58" s="122" t="str">
        <f>IF(AU58=100,AT58*'BU FACILITIES'!$G$8, IF(AND(AU58&gt;100,AU58&lt;=500), AT58*'BU FACILITIES'!$G$9, IF(AND(AU58&gt;500,AU58&lt;=800), AT58*'BU FACILITIES'!$G$10, IF(AND(AU58&gt;800,AU58&lt;=1000),AT58*'BU FACILITIES'!$G$11, IF(AND(AU58&gt;1000,AU58&lt;=1400),AT58*'BU FACILITIES'!$G$12, IF(AND(AU58&gt;1400,AU58&lt;=2000),AT58*'BU FACILITIES'!$G$13,""))))))</f>
        <v/>
      </c>
      <c r="AW58" s="187"/>
      <c r="AX58" s="187"/>
      <c r="AY58" s="122" t="str">
        <f>IF(AX58=30,AW58*'BU FACILITIES'!$G$14, IF(AX58=45, AW58*'BU FACILITIES'!$G$15, IF(AX58=450, AW58*'BU FACILITIES'!$G$16, "")))</f>
        <v/>
      </c>
      <c r="AZ58" s="187" t="s">
        <v>469</v>
      </c>
      <c r="BA58" s="187"/>
      <c r="BB58" s="187" t="str">
        <f>IF(AND(BA58&gt;=1,BA58&lt;=5),'BU FACILITIES'!$G$17, IF(AND(BA58&gt;5, BA58&lt;=10), 'BU FACILITIES'!$G$18, IF(AND(BA58&gt;10,BA58&lt;=20),'BU FACILITIES'!$G$19,"")))</f>
        <v/>
      </c>
      <c r="BC58" s="187">
        <v>1</v>
      </c>
      <c r="BD58" s="195">
        <f>IF(AND(AZ58="Modificar ductería de AA",BC58=1), 'BU FACILITIES'!$G$20, "")</f>
        <v>9756.0975609756097</v>
      </c>
    </row>
    <row r="59" spans="1:58" s="3" customFormat="1" ht="12.75" hidden="1" x14ac:dyDescent="0.2">
      <c r="A59" s="37" t="s">
        <v>90</v>
      </c>
      <c r="B59" s="38" t="s">
        <v>25</v>
      </c>
      <c r="C59" s="38" t="s">
        <v>26</v>
      </c>
      <c r="D59" s="38" t="s">
        <v>91</v>
      </c>
      <c r="E59" s="38" t="s">
        <v>92</v>
      </c>
      <c r="F59" s="38">
        <v>2023</v>
      </c>
      <c r="G59" s="23" t="s">
        <v>120</v>
      </c>
      <c r="H59" s="23" t="s">
        <v>66</v>
      </c>
      <c r="I59" s="23" t="s">
        <v>457</v>
      </c>
      <c r="J59" s="38" t="s">
        <v>32</v>
      </c>
      <c r="K59" s="23">
        <v>1</v>
      </c>
      <c r="L59" s="23">
        <v>10</v>
      </c>
      <c r="M59" s="23">
        <v>475</v>
      </c>
      <c r="N59" s="134">
        <v>4750</v>
      </c>
      <c r="O59" s="23" t="s">
        <v>31</v>
      </c>
      <c r="P59" s="23">
        <f>SUMIF($G$3:$G$294,G59,$N$3:$N$294)</f>
        <v>4750</v>
      </c>
      <c r="Q59" s="217">
        <f t="shared" si="1"/>
        <v>1</v>
      </c>
      <c r="R59" s="126" t="e">
        <f>VLOOKUP(G59,#REF!,11,0)*Q59</f>
        <v>#REF!</v>
      </c>
      <c r="S59" s="38" t="s">
        <v>33</v>
      </c>
      <c r="T59" s="38">
        <v>1620.75</v>
      </c>
      <c r="U59" s="38">
        <v>2</v>
      </c>
      <c r="V59" s="23" t="s">
        <v>31</v>
      </c>
      <c r="W59" s="23" t="s">
        <v>31</v>
      </c>
      <c r="X59" s="44" t="s">
        <v>93</v>
      </c>
      <c r="Y59" s="37">
        <v>1.5</v>
      </c>
      <c r="Z59" s="86" t="s">
        <v>94</v>
      </c>
      <c r="AA59" s="89" t="s">
        <v>31</v>
      </c>
      <c r="AB59" s="37" t="s">
        <v>95</v>
      </c>
      <c r="AC59" s="187" t="s">
        <v>515</v>
      </c>
      <c r="AD59" s="187"/>
      <c r="AE59" s="187" t="s">
        <v>460</v>
      </c>
      <c r="AF59" s="187"/>
      <c r="AG59" s="187"/>
      <c r="AH59" s="123" t="str">
        <f>IF(AG59=1,'BU FACILITIES'!$G$24,"")</f>
        <v/>
      </c>
      <c r="AI59" s="187" t="s">
        <v>454</v>
      </c>
      <c r="AJ59" s="196">
        <v>1</v>
      </c>
      <c r="AK59" s="120">
        <f>AJ59*'BU FACILITIES'!$G$21</f>
        <v>1714.6341463414635</v>
      </c>
      <c r="AL59" s="196">
        <v>1</v>
      </c>
      <c r="AM59" s="121">
        <f>PRODUCT( AL59,'BU FACILITIES'!$G$22)</f>
        <v>870.73170731707319</v>
      </c>
      <c r="AN59" s="187"/>
      <c r="AO59" s="187"/>
      <c r="AP59" s="125" t="str">
        <f>IF(AO59=1,'BU FACILITIES'!$G$23,"")</f>
        <v/>
      </c>
      <c r="AQ59" s="187"/>
      <c r="AR59" s="187"/>
      <c r="AS59" s="122" t="str">
        <f>IF(AR59=300,AQ59*'BU FACILITIES'!$G$4, IF(AND(AR59&gt;300,AR59&lt;=500), AQ59*'BU FACILITIES'!$G$5, IF(AND(AR59&gt;500,AR59&lt;=1250), AQ59*'BU FACILITIES'!$G$6, IF(AND(AR59&gt;1250,AR59&lt;=2000),AQ59*'BU FACILITIES'!$G$7, ""))))</f>
        <v/>
      </c>
      <c r="AT59" s="187"/>
      <c r="AU59" s="187"/>
      <c r="AV59" s="122" t="str">
        <f>IF(AU59=100,AT59*'BU FACILITIES'!$G$8, IF(AND(AU59&gt;100,AU59&lt;=500), AT59*'BU FACILITIES'!$G$9, IF(AND(AU59&gt;500,AU59&lt;=800), AT59*'BU FACILITIES'!$G$10, IF(AND(AU59&gt;800,AU59&lt;=1000),AT59*'BU FACILITIES'!$G$11, IF(AND(AU59&gt;1000,AU59&lt;=1400),AT59*'BU FACILITIES'!$G$12, IF(AND(AU59&gt;1400,AU59&lt;=2000),AT59*'BU FACILITIES'!$G$13,""))))))</f>
        <v/>
      </c>
      <c r="AW59" s="187"/>
      <c r="AX59" s="187"/>
      <c r="AY59" s="122" t="str">
        <f>IF(AX59=30,AW59*'BU FACILITIES'!$G$14, IF(AX59=45, AW59*'BU FACILITIES'!$G$15, IF(AX59=450, AW59*'BU FACILITIES'!$G$16, "")))</f>
        <v/>
      </c>
      <c r="AZ59" s="187"/>
      <c r="BA59" s="187"/>
      <c r="BB59" s="187" t="str">
        <f>IF(AND(BA59&gt;=1,BA59&lt;=5),'BU FACILITIES'!$G$17, IF(AND(BA59&gt;5, BA59&lt;=10), 'BU FACILITIES'!$G$18, IF(AND(BA59&gt;10,BA59&lt;=20),'BU FACILITIES'!$G$19,"")))</f>
        <v/>
      </c>
      <c r="BC59" s="187"/>
      <c r="BD59" s="195" t="str">
        <f>IF(AND(AZ59="Modificar ductería de AA",BC59=1), 'BU FACILITIES'!$G$20, "")</f>
        <v/>
      </c>
    </row>
    <row r="60" spans="1:58" s="3" customFormat="1" ht="12.75" hidden="1" x14ac:dyDescent="0.2">
      <c r="A60" s="37" t="s">
        <v>90</v>
      </c>
      <c r="B60" s="38" t="s">
        <v>25</v>
      </c>
      <c r="C60" s="38" t="s">
        <v>26</v>
      </c>
      <c r="D60" s="38" t="s">
        <v>91</v>
      </c>
      <c r="E60" s="38" t="s">
        <v>92</v>
      </c>
      <c r="F60" s="38">
        <v>2023</v>
      </c>
      <c r="G60" s="23" t="s">
        <v>121</v>
      </c>
      <c r="H60" s="21" t="s">
        <v>66</v>
      </c>
      <c r="I60" s="22" t="s">
        <v>457</v>
      </c>
      <c r="J60" s="38" t="s">
        <v>32</v>
      </c>
      <c r="K60" s="23">
        <v>1</v>
      </c>
      <c r="L60" s="23">
        <v>6</v>
      </c>
      <c r="M60" s="23">
        <v>475</v>
      </c>
      <c r="N60" s="134">
        <v>2850</v>
      </c>
      <c r="O60" s="23" t="s">
        <v>31</v>
      </c>
      <c r="P60" s="23">
        <f t="shared" ref="P60:P91" si="2">SUMIF($G$3:$G$292,G60,$N$3:$N$292)</f>
        <v>2850</v>
      </c>
      <c r="Q60" s="217">
        <f t="shared" si="1"/>
        <v>1</v>
      </c>
      <c r="R60" s="126" t="e">
        <f>VLOOKUP(G60,#REF!,11,0)*Q60</f>
        <v>#REF!</v>
      </c>
      <c r="S60" s="38" t="s">
        <v>33</v>
      </c>
      <c r="T60" s="38">
        <v>1620.75</v>
      </c>
      <c r="U60" s="38">
        <v>2</v>
      </c>
      <c r="V60" s="23" t="s">
        <v>31</v>
      </c>
      <c r="W60" s="23" t="s">
        <v>31</v>
      </c>
      <c r="X60" s="44" t="s">
        <v>93</v>
      </c>
      <c r="Y60" s="37">
        <v>1.5</v>
      </c>
      <c r="Z60" s="86" t="s">
        <v>94</v>
      </c>
      <c r="AA60" s="89" t="s">
        <v>31</v>
      </c>
      <c r="AB60" s="37" t="s">
        <v>95</v>
      </c>
      <c r="AC60" s="187"/>
      <c r="AD60" s="187">
        <v>4</v>
      </c>
      <c r="AE60" s="187" t="s">
        <v>402</v>
      </c>
      <c r="AF60" s="187"/>
      <c r="AG60" s="187"/>
      <c r="AH60" s="123" t="str">
        <f>IF(AG60=1,'BU FACILITIES'!$G$24,"")</f>
        <v/>
      </c>
      <c r="AI60" s="187"/>
      <c r="AJ60" s="196"/>
      <c r="AK60" s="120">
        <f>AJ60*'BU FACILITIES'!$G$21</f>
        <v>0</v>
      </c>
      <c r="AL60" s="196">
        <v>1</v>
      </c>
      <c r="AM60" s="121">
        <f>PRODUCT( AL60,'BU FACILITIES'!$G$22)</f>
        <v>870.73170731707319</v>
      </c>
      <c r="AN60" s="187"/>
      <c r="AO60" s="187"/>
      <c r="AP60" s="125" t="str">
        <f>IF(AO60=1,'BU FACILITIES'!$G$23,"")</f>
        <v/>
      </c>
      <c r="AQ60" s="187"/>
      <c r="AR60" s="187"/>
      <c r="AS60" s="122" t="str">
        <f>IF(AR60=300,AQ60*'BU FACILITIES'!$G$4, IF(AND(AR60&gt;300,AR60&lt;=500), AQ60*'BU FACILITIES'!$G$5, IF(AND(AR60&gt;500,AR60&lt;=1250), AQ60*'BU FACILITIES'!$G$6, IF(AND(AR60&gt;1250,AR60&lt;=2000),AQ60*'BU FACILITIES'!$G$7, ""))))</f>
        <v/>
      </c>
      <c r="AT60" s="187"/>
      <c r="AU60" s="187"/>
      <c r="AV60" s="122" t="str">
        <f>IF(AU60=100,AT60*'BU FACILITIES'!$G$8, IF(AND(AU60&gt;100,AU60&lt;=500), AT60*'BU FACILITIES'!$G$9, IF(AND(AU60&gt;500,AU60&lt;=800), AT60*'BU FACILITIES'!$G$10, IF(AND(AU60&gt;800,AU60&lt;=1000),AT60*'BU FACILITIES'!$G$11, IF(AND(AU60&gt;1000,AU60&lt;=1400),AT60*'BU FACILITIES'!$G$12, IF(AND(AU60&gt;1400,AU60&lt;=2000),AT60*'BU FACILITIES'!$G$13,""))))))</f>
        <v/>
      </c>
      <c r="AW60" s="187"/>
      <c r="AX60" s="187"/>
      <c r="AY60" s="122" t="str">
        <f>IF(AX60=30,AW60*'BU FACILITIES'!$G$14, IF(AX60=45, AW60*'BU FACILITIES'!$G$15, IF(AX60=450, AW60*'BU FACILITIES'!$G$16, "")))</f>
        <v/>
      </c>
      <c r="AZ60" s="187"/>
      <c r="BA60" s="187"/>
      <c r="BB60" s="187" t="str">
        <f>IF(AND(BA60&gt;=1,BA60&lt;=5),'BU FACILITIES'!$G$17, IF(AND(BA60&gt;5, BA60&lt;=10), 'BU FACILITIES'!$G$18, IF(AND(BA60&gt;10,BA60&lt;=20),'BU FACILITIES'!$G$19,"")))</f>
        <v/>
      </c>
      <c r="BC60" s="187"/>
      <c r="BD60" s="195" t="str">
        <f>IF(AND(AZ60="Modificar ductería de AA",BC60=1), 'BU FACILITIES'!$G$20, "")</f>
        <v/>
      </c>
    </row>
    <row r="61" spans="1:58" s="3" customFormat="1" ht="12.75" hidden="1" x14ac:dyDescent="0.2">
      <c r="A61" s="37" t="s">
        <v>90</v>
      </c>
      <c r="B61" s="38" t="s">
        <v>25</v>
      </c>
      <c r="C61" s="38" t="s">
        <v>26</v>
      </c>
      <c r="D61" s="38" t="s">
        <v>91</v>
      </c>
      <c r="E61" s="38" t="s">
        <v>92</v>
      </c>
      <c r="F61" s="38">
        <v>2023</v>
      </c>
      <c r="G61" s="23" t="s">
        <v>122</v>
      </c>
      <c r="H61" s="23" t="s">
        <v>66</v>
      </c>
      <c r="I61" s="22" t="s">
        <v>457</v>
      </c>
      <c r="J61" s="38" t="s">
        <v>32</v>
      </c>
      <c r="K61" s="23">
        <v>1</v>
      </c>
      <c r="L61" s="23">
        <v>6</v>
      </c>
      <c r="M61" s="23">
        <v>475</v>
      </c>
      <c r="N61" s="132">
        <v>0</v>
      </c>
      <c r="O61" s="23" t="s">
        <v>31</v>
      </c>
      <c r="P61" s="23">
        <f t="shared" si="2"/>
        <v>0</v>
      </c>
      <c r="Q61" s="217" t="str">
        <f t="shared" si="1"/>
        <v>0</v>
      </c>
      <c r="R61" s="126" t="e">
        <f>VLOOKUP(G61,#REF!,11,0)*Q61</f>
        <v>#REF!</v>
      </c>
      <c r="S61" s="38" t="s">
        <v>33</v>
      </c>
      <c r="T61" s="38">
        <v>1620.75</v>
      </c>
      <c r="U61" s="38">
        <v>2</v>
      </c>
      <c r="V61" s="23" t="s">
        <v>31</v>
      </c>
      <c r="W61" s="23" t="s">
        <v>31</v>
      </c>
      <c r="X61" s="44" t="s">
        <v>93</v>
      </c>
      <c r="Y61" s="37">
        <v>1.5</v>
      </c>
      <c r="Z61" s="86" t="s">
        <v>94</v>
      </c>
      <c r="AA61" s="89" t="s">
        <v>31</v>
      </c>
      <c r="AB61" s="37" t="s">
        <v>95</v>
      </c>
      <c r="AC61" s="187" t="s">
        <v>516</v>
      </c>
      <c r="AD61" s="187">
        <v>3</v>
      </c>
      <c r="AE61" s="187" t="s">
        <v>460</v>
      </c>
      <c r="AF61" s="187" t="s">
        <v>402</v>
      </c>
      <c r="AG61" s="187">
        <v>1</v>
      </c>
      <c r="AH61" s="123">
        <f>IF(AG61=1,'BU FACILITIES'!$G$24,"")</f>
        <v>9756.0975609756097</v>
      </c>
      <c r="AI61" s="187"/>
      <c r="AJ61" s="196"/>
      <c r="AK61" s="120">
        <f>AJ61*'BU FACILITIES'!$G$21</f>
        <v>0</v>
      </c>
      <c r="AL61" s="196">
        <v>1</v>
      </c>
      <c r="AM61" s="121">
        <f>PRODUCT( AL61,'BU FACILITIES'!$G$22)</f>
        <v>870.73170731707319</v>
      </c>
      <c r="AN61" s="187" t="s">
        <v>402</v>
      </c>
      <c r="AO61" s="187">
        <v>1</v>
      </c>
      <c r="AP61" s="125">
        <v>6000</v>
      </c>
      <c r="AQ61" s="187"/>
      <c r="AR61" s="187"/>
      <c r="AS61" s="122" t="str">
        <f>IF(AR61=300,AQ61*'BU FACILITIES'!$G$4, IF(AND(AR61&gt;300,AR61&lt;=500), AQ61*'BU FACILITIES'!$G$5, IF(AND(AR61&gt;500,AR61&lt;=1250), AQ61*'BU FACILITIES'!$G$6, IF(AND(AR61&gt;1250,AR61&lt;=2000),AQ61*'BU FACILITIES'!$G$7, ""))))</f>
        <v/>
      </c>
      <c r="AT61" s="187"/>
      <c r="AU61" s="187"/>
      <c r="AV61" s="122" t="str">
        <f>IF(AU61=100,AT61*'BU FACILITIES'!$G$8, IF(AND(AU61&gt;100,AU61&lt;=500), AT61*'BU FACILITIES'!$G$9, IF(AND(AU61&gt;500,AU61&lt;=800), AT61*'BU FACILITIES'!$G$10, IF(AND(AU61&gt;800,AU61&lt;=1000),AT61*'BU FACILITIES'!$G$11, IF(AND(AU61&gt;1000,AU61&lt;=1400),AT61*'BU FACILITIES'!$G$12, IF(AND(AU61&gt;1400,AU61&lt;=2000),AT61*'BU FACILITIES'!$G$13,""))))))</f>
        <v/>
      </c>
      <c r="AW61" s="187"/>
      <c r="AX61" s="187"/>
      <c r="AY61" s="122" t="str">
        <f>IF(AX61=30,AW61*'BU FACILITIES'!$G$14, IF(AX61=45, AW61*'BU FACILITIES'!$G$15, IF(AX61=450, AW61*'BU FACILITIES'!$G$16, "")))</f>
        <v/>
      </c>
      <c r="AZ61" s="187" t="s">
        <v>469</v>
      </c>
      <c r="BA61" s="187"/>
      <c r="BB61" s="187" t="str">
        <f>IF(AND(BA61&gt;=1,BA61&lt;=5),'BU FACILITIES'!$G$17, IF(AND(BA61&gt;5, BA61&lt;=10), 'BU FACILITIES'!$G$18, IF(AND(BA61&gt;10,BA61&lt;=20),'BU FACILITIES'!$G$19,"")))</f>
        <v/>
      </c>
      <c r="BC61" s="187">
        <v>1</v>
      </c>
      <c r="BD61" s="195">
        <f>IF(AND(AZ61="Modificar ductería de AA",BC61=1), 'BU FACILITIES'!$G$20, "")</f>
        <v>9756.0975609756097</v>
      </c>
    </row>
    <row r="62" spans="1:58" s="3" customFormat="1" ht="12.75" hidden="1" x14ac:dyDescent="0.2">
      <c r="A62" s="37" t="s">
        <v>90</v>
      </c>
      <c r="B62" s="38" t="s">
        <v>25</v>
      </c>
      <c r="C62" s="38" t="s">
        <v>26</v>
      </c>
      <c r="D62" s="38" t="s">
        <v>91</v>
      </c>
      <c r="E62" s="38" t="s">
        <v>92</v>
      </c>
      <c r="F62" s="38">
        <v>2023</v>
      </c>
      <c r="G62" s="23" t="s">
        <v>517</v>
      </c>
      <c r="H62" s="23" t="s">
        <v>66</v>
      </c>
      <c r="I62" s="23" t="s">
        <v>457</v>
      </c>
      <c r="J62" s="38" t="s">
        <v>32</v>
      </c>
      <c r="K62" s="23">
        <v>1</v>
      </c>
      <c r="L62" s="23">
        <v>6</v>
      </c>
      <c r="M62" s="23">
        <v>475</v>
      </c>
      <c r="N62" s="134">
        <v>2850</v>
      </c>
      <c r="O62" s="23" t="s">
        <v>31</v>
      </c>
      <c r="P62" s="23">
        <f t="shared" si="2"/>
        <v>3450</v>
      </c>
      <c r="Q62" s="217">
        <f t="shared" si="1"/>
        <v>0.82608695652173914</v>
      </c>
      <c r="R62" s="126" t="e">
        <f>VLOOKUP(G62,#REF!,11,0)*Q62</f>
        <v>#REF!</v>
      </c>
      <c r="S62" s="38" t="s">
        <v>33</v>
      </c>
      <c r="T62" s="38">
        <v>1620.75</v>
      </c>
      <c r="U62" s="38">
        <v>2</v>
      </c>
      <c r="V62" s="23" t="s">
        <v>31</v>
      </c>
      <c r="W62" s="23" t="s">
        <v>31</v>
      </c>
      <c r="X62" s="44" t="s">
        <v>93</v>
      </c>
      <c r="Y62" s="37">
        <v>1.5</v>
      </c>
      <c r="Z62" s="86" t="s">
        <v>94</v>
      </c>
      <c r="AA62" s="89" t="s">
        <v>31</v>
      </c>
      <c r="AB62" s="37" t="s">
        <v>95</v>
      </c>
      <c r="AC62" s="187" t="s">
        <v>515</v>
      </c>
      <c r="AD62" s="187">
        <v>2</v>
      </c>
      <c r="AE62" s="187" t="s">
        <v>460</v>
      </c>
      <c r="AF62" s="187"/>
      <c r="AG62" s="187"/>
      <c r="AH62" s="123" t="str">
        <f>IF(AG62=1,'BU FACILITIES'!$G$24,"")</f>
        <v/>
      </c>
      <c r="AI62" s="187" t="s">
        <v>454</v>
      </c>
      <c r="AJ62" s="196">
        <v>1</v>
      </c>
      <c r="AK62" s="120">
        <f>AJ62*'BU FACILITIES'!$G$21</f>
        <v>1714.6341463414635</v>
      </c>
      <c r="AL62" s="196">
        <v>1</v>
      </c>
      <c r="AM62" s="121">
        <f>PRODUCT( AL62,'BU FACILITIES'!$G$22)</f>
        <v>870.73170731707319</v>
      </c>
      <c r="AN62" s="187"/>
      <c r="AO62" s="187"/>
      <c r="AP62" s="125" t="str">
        <f>IF(AO62=1,'BU FACILITIES'!$G$23,"")</f>
        <v/>
      </c>
      <c r="AQ62" s="187"/>
      <c r="AR62" s="187"/>
      <c r="AS62" s="122" t="str">
        <f>IF(AR62=300,AQ62*'BU FACILITIES'!$G$4, IF(AND(AR62&gt;300,AR62&lt;=500), AQ62*'BU FACILITIES'!$G$5, IF(AND(AR62&gt;500,AR62&lt;=1250), AQ62*'BU FACILITIES'!$G$6, IF(AND(AR62&gt;1250,AR62&lt;=2000),AQ62*'BU FACILITIES'!$G$7, ""))))</f>
        <v/>
      </c>
      <c r="AT62" s="187"/>
      <c r="AU62" s="187"/>
      <c r="AV62" s="122" t="str">
        <f>IF(AU62=100,AT62*'BU FACILITIES'!$G$8, IF(AND(AU62&gt;100,AU62&lt;=500), AT62*'BU FACILITIES'!$G$9, IF(AND(AU62&gt;500,AU62&lt;=800), AT62*'BU FACILITIES'!$G$10, IF(AND(AU62&gt;800,AU62&lt;=1000),AT62*'BU FACILITIES'!$G$11, IF(AND(AU62&gt;1000,AU62&lt;=1400),AT62*'BU FACILITIES'!$G$12, IF(AND(AU62&gt;1400,AU62&lt;=2000),AT62*'BU FACILITIES'!$G$13,""))))))</f>
        <v/>
      </c>
      <c r="AW62" s="187"/>
      <c r="AX62" s="187"/>
      <c r="AY62" s="122" t="str">
        <f>IF(AX62=30,AW62*'BU FACILITIES'!$G$14, IF(AX62=45, AW62*'BU FACILITIES'!$G$15, IF(AX62=450, AW62*'BU FACILITIES'!$G$16, "")))</f>
        <v/>
      </c>
      <c r="AZ62" s="187"/>
      <c r="BA62" s="187"/>
      <c r="BB62" s="187" t="str">
        <f>IF(AND(BA62&gt;=1,BA62&lt;=5),'BU FACILITIES'!$G$17, IF(AND(BA62&gt;5, BA62&lt;=10), 'BU FACILITIES'!$G$18, IF(AND(BA62&gt;10,BA62&lt;=20),'BU FACILITIES'!$G$19,"")))</f>
        <v/>
      </c>
      <c r="BC62" s="187"/>
      <c r="BD62" s="195" t="str">
        <f>IF(AND(AZ62="Modificar ductería de AA",BC62=1), 'BU FACILITIES'!$G$20, "")</f>
        <v/>
      </c>
    </row>
    <row r="63" spans="1:58" s="3" customFormat="1" ht="12.75" hidden="1" x14ac:dyDescent="0.2">
      <c r="A63" s="37" t="s">
        <v>90</v>
      </c>
      <c r="B63" s="38" t="s">
        <v>25</v>
      </c>
      <c r="C63" s="38" t="s">
        <v>26</v>
      </c>
      <c r="D63" s="38" t="s">
        <v>91</v>
      </c>
      <c r="E63" s="38" t="s">
        <v>92</v>
      </c>
      <c r="F63" s="38">
        <v>2023</v>
      </c>
      <c r="G63" s="23" t="s">
        <v>72</v>
      </c>
      <c r="H63" s="23" t="s">
        <v>66</v>
      </c>
      <c r="I63" s="23" t="s">
        <v>457</v>
      </c>
      <c r="J63" s="38" t="s">
        <v>32</v>
      </c>
      <c r="K63" s="23">
        <v>1</v>
      </c>
      <c r="L63" s="23">
        <v>6</v>
      </c>
      <c r="M63" s="23">
        <v>475</v>
      </c>
      <c r="N63" s="132">
        <v>0</v>
      </c>
      <c r="O63" s="23" t="s">
        <v>31</v>
      </c>
      <c r="P63" s="23">
        <f t="shared" si="2"/>
        <v>2400</v>
      </c>
      <c r="Q63" s="217" t="str">
        <f t="shared" si="1"/>
        <v>0</v>
      </c>
      <c r="R63" s="126" t="e">
        <f>VLOOKUP(G63,#REF!,11,0)*Q63</f>
        <v>#REF!</v>
      </c>
      <c r="S63" s="38" t="s">
        <v>33</v>
      </c>
      <c r="T63" s="38">
        <v>1620.75</v>
      </c>
      <c r="U63" s="38">
        <v>2</v>
      </c>
      <c r="V63" s="23" t="s">
        <v>31</v>
      </c>
      <c r="W63" s="23" t="s">
        <v>31</v>
      </c>
      <c r="X63" s="44" t="s">
        <v>93</v>
      </c>
      <c r="Y63" s="37">
        <v>1.5</v>
      </c>
      <c r="Z63" s="86" t="s">
        <v>94</v>
      </c>
      <c r="AA63" s="89" t="s">
        <v>31</v>
      </c>
      <c r="AB63" s="37" t="s">
        <v>95</v>
      </c>
      <c r="AC63" s="187"/>
      <c r="AD63" s="187">
        <v>3</v>
      </c>
      <c r="AE63" s="187" t="s">
        <v>460</v>
      </c>
      <c r="AF63" s="187"/>
      <c r="AG63" s="187"/>
      <c r="AH63" s="123" t="str">
        <f>IF(AG63=1,'BU FACILITIES'!$G$24,"")</f>
        <v/>
      </c>
      <c r="AI63" s="187"/>
      <c r="AJ63" s="196"/>
      <c r="AK63" s="120">
        <f>AJ63*'BU FACILITIES'!$G$21</f>
        <v>0</v>
      </c>
      <c r="AL63" s="196">
        <v>1</v>
      </c>
      <c r="AM63" s="121">
        <f>PRODUCT( AL63,'BU FACILITIES'!$G$22)</f>
        <v>870.73170731707319</v>
      </c>
      <c r="AN63" s="187"/>
      <c r="AO63" s="187"/>
      <c r="AP63" s="125" t="str">
        <f>IF(AO63=1,'BU FACILITIES'!$G$23,"")</f>
        <v/>
      </c>
      <c r="AQ63" s="187"/>
      <c r="AR63" s="187"/>
      <c r="AS63" s="122" t="str">
        <f>IF(AR63=300,AQ63*'BU FACILITIES'!$G$4, IF(AND(AR63&gt;300,AR63&lt;=500), AQ63*'BU FACILITIES'!$G$5, IF(AND(AR63&gt;500,AR63&lt;=1250), AQ63*'BU FACILITIES'!$G$6, IF(AND(AR63&gt;1250,AR63&lt;=2000),AQ63*'BU FACILITIES'!$G$7, ""))))</f>
        <v/>
      </c>
      <c r="AT63" s="187"/>
      <c r="AU63" s="187"/>
      <c r="AV63" s="122" t="str">
        <f>IF(AU63=100,AT63*'BU FACILITIES'!$G$8, IF(AND(AU63&gt;100,AU63&lt;=500), AT63*'BU FACILITIES'!$G$9, IF(AND(AU63&gt;500,AU63&lt;=800), AT63*'BU FACILITIES'!$G$10, IF(AND(AU63&gt;800,AU63&lt;=1000),AT63*'BU FACILITIES'!$G$11, IF(AND(AU63&gt;1000,AU63&lt;=1400),AT63*'BU FACILITIES'!$G$12, IF(AND(AU63&gt;1400,AU63&lt;=2000),AT63*'BU FACILITIES'!$G$13,""))))))</f>
        <v/>
      </c>
      <c r="AW63" s="187"/>
      <c r="AX63" s="187"/>
      <c r="AY63" s="122" t="str">
        <f>IF(AX63=30,AW63*'BU FACILITIES'!$G$14, IF(AX63=45, AW63*'BU FACILITIES'!$G$15, IF(AX63=450, AW63*'BU FACILITIES'!$G$16, "")))</f>
        <v/>
      </c>
      <c r="AZ63" s="187"/>
      <c r="BA63" s="187"/>
      <c r="BB63" s="187" t="str">
        <f>IF(AND(BA63&gt;=1,BA63&lt;=5),'BU FACILITIES'!$G$17, IF(AND(BA63&gt;5, BA63&lt;=10), 'BU FACILITIES'!$G$18, IF(AND(BA63&gt;10,BA63&lt;=20),'BU FACILITIES'!$G$19,"")))</f>
        <v/>
      </c>
      <c r="BC63" s="187"/>
      <c r="BD63" s="195" t="str">
        <f>IF(AND(AZ63="Modificar ductería de AA",BC63=1), 'BU FACILITIES'!$G$20, "")</f>
        <v/>
      </c>
    </row>
    <row r="64" spans="1:58" s="3" customFormat="1" ht="12.75" hidden="1" x14ac:dyDescent="0.2">
      <c r="A64" s="37" t="s">
        <v>90</v>
      </c>
      <c r="B64" s="38" t="s">
        <v>25</v>
      </c>
      <c r="C64" s="38" t="s">
        <v>26</v>
      </c>
      <c r="D64" s="38" t="s">
        <v>91</v>
      </c>
      <c r="E64" s="38" t="s">
        <v>92</v>
      </c>
      <c r="F64" s="38">
        <v>2023</v>
      </c>
      <c r="G64" s="23" t="s">
        <v>123</v>
      </c>
      <c r="H64" s="23" t="s">
        <v>66</v>
      </c>
      <c r="I64" s="23" t="s">
        <v>457</v>
      </c>
      <c r="J64" s="38" t="s">
        <v>32</v>
      </c>
      <c r="K64" s="23">
        <v>1</v>
      </c>
      <c r="L64" s="23">
        <v>6</v>
      </c>
      <c r="M64" s="23">
        <v>475</v>
      </c>
      <c r="N64" s="134">
        <v>2850</v>
      </c>
      <c r="O64" s="23" t="s">
        <v>31</v>
      </c>
      <c r="P64" s="23">
        <f t="shared" si="2"/>
        <v>4050</v>
      </c>
      <c r="Q64" s="217">
        <f t="shared" si="1"/>
        <v>0.70370370370370372</v>
      </c>
      <c r="R64" s="126" t="e">
        <f>VLOOKUP(G64,#REF!,11,0)*Q64</f>
        <v>#REF!</v>
      </c>
      <c r="S64" s="38" t="s">
        <v>33</v>
      </c>
      <c r="T64" s="38">
        <v>1620.75</v>
      </c>
      <c r="U64" s="38">
        <v>12</v>
      </c>
      <c r="V64" s="23" t="s">
        <v>31</v>
      </c>
      <c r="W64" s="23" t="s">
        <v>31</v>
      </c>
      <c r="X64" s="44" t="s">
        <v>93</v>
      </c>
      <c r="Y64" s="37">
        <v>1.5</v>
      </c>
      <c r="Z64" s="86" t="s">
        <v>94</v>
      </c>
      <c r="AA64" s="89" t="s">
        <v>31</v>
      </c>
      <c r="AB64" s="37" t="s">
        <v>95</v>
      </c>
      <c r="AC64" s="187" t="s">
        <v>518</v>
      </c>
      <c r="AD64" s="187">
        <v>4</v>
      </c>
      <c r="AE64" s="187" t="s">
        <v>402</v>
      </c>
      <c r="AF64" s="187"/>
      <c r="AG64" s="187"/>
      <c r="AH64" s="123" t="str">
        <f>IF(AG64=1,'BU FACILITIES'!$G$24,"")</f>
        <v/>
      </c>
      <c r="AI64" s="187" t="s">
        <v>454</v>
      </c>
      <c r="AJ64" s="196">
        <v>1</v>
      </c>
      <c r="AK64" s="120">
        <f>AJ64*'BU FACILITIES'!$G$21</f>
        <v>1714.6341463414635</v>
      </c>
      <c r="AL64" s="196">
        <v>1</v>
      </c>
      <c r="AM64" s="121">
        <f>PRODUCT( AL64,'BU FACILITIES'!$G$22)</f>
        <v>870.73170731707319</v>
      </c>
      <c r="AN64" s="187"/>
      <c r="AO64" s="187"/>
      <c r="AP64" s="125" t="str">
        <f>IF(AO64=1,'BU FACILITIES'!$G$23,"")</f>
        <v/>
      </c>
      <c r="AQ64" s="187"/>
      <c r="AR64" s="187"/>
      <c r="AS64" s="122" t="str">
        <f>IF(AR64=300,AQ64*'BU FACILITIES'!$G$4, IF(AND(AR64&gt;300,AR64&lt;=500), AQ64*'BU FACILITIES'!$G$5, IF(AND(AR64&gt;500,AR64&lt;=1250), AQ64*'BU FACILITIES'!$G$6, IF(AND(AR64&gt;1250,AR64&lt;=2000),AQ64*'BU FACILITIES'!$G$7, ""))))</f>
        <v/>
      </c>
      <c r="AT64" s="187"/>
      <c r="AU64" s="187"/>
      <c r="AV64" s="122" t="str">
        <f>IF(AU64=100,AT64*'BU FACILITIES'!$G$8, IF(AND(AU64&gt;100,AU64&lt;=500), AT64*'BU FACILITIES'!$G$9, IF(AND(AU64&gt;500,AU64&lt;=800), AT64*'BU FACILITIES'!$G$10, IF(AND(AU64&gt;800,AU64&lt;=1000),AT64*'BU FACILITIES'!$G$11, IF(AND(AU64&gt;1000,AU64&lt;=1400),AT64*'BU FACILITIES'!$G$12, IF(AND(AU64&gt;1400,AU64&lt;=2000),AT64*'BU FACILITIES'!$G$13,""))))))</f>
        <v/>
      </c>
      <c r="AW64" s="187"/>
      <c r="AX64" s="187"/>
      <c r="AY64" s="122" t="str">
        <f>IF(AX64=30,AW64*'BU FACILITIES'!$G$14, IF(AX64=45, AW64*'BU FACILITIES'!$G$15, IF(AX64=450, AW64*'BU FACILITIES'!$G$16, "")))</f>
        <v/>
      </c>
      <c r="AZ64" s="187"/>
      <c r="BA64" s="187"/>
      <c r="BB64" s="187" t="str">
        <f>IF(AND(BA64&gt;=1,BA64&lt;=5),'BU FACILITIES'!$G$17, IF(AND(BA64&gt;5, BA64&lt;=10), 'BU FACILITIES'!$G$18, IF(AND(BA64&gt;10,BA64&lt;=20),'BU FACILITIES'!$G$19,"")))</f>
        <v/>
      </c>
      <c r="BC64" s="187"/>
      <c r="BD64" s="195" t="str">
        <f>IF(AND(AZ64="Modificar ductería de AA",BC64=1), 'BU FACILITIES'!$G$20, "")</f>
        <v/>
      </c>
    </row>
    <row r="65" spans="1:57" s="3" customFormat="1" ht="12.75" hidden="1" x14ac:dyDescent="0.2">
      <c r="A65" s="37" t="s">
        <v>90</v>
      </c>
      <c r="B65" s="38" t="s">
        <v>25</v>
      </c>
      <c r="C65" s="38" t="s">
        <v>26</v>
      </c>
      <c r="D65" s="38" t="s">
        <v>91</v>
      </c>
      <c r="E65" s="38" t="s">
        <v>92</v>
      </c>
      <c r="F65" s="38">
        <v>2023</v>
      </c>
      <c r="G65" s="23" t="s">
        <v>80</v>
      </c>
      <c r="H65" s="23" t="s">
        <v>66</v>
      </c>
      <c r="I65" s="23" t="s">
        <v>457</v>
      </c>
      <c r="J65" s="38" t="s">
        <v>32</v>
      </c>
      <c r="K65" s="23">
        <v>1</v>
      </c>
      <c r="L65" s="23">
        <v>6</v>
      </c>
      <c r="M65" s="23">
        <v>475</v>
      </c>
      <c r="N65" s="134">
        <v>2850</v>
      </c>
      <c r="O65" s="23" t="s">
        <v>31</v>
      </c>
      <c r="P65" s="23">
        <f t="shared" si="2"/>
        <v>7650</v>
      </c>
      <c r="Q65" s="217">
        <f t="shared" si="1"/>
        <v>0.37254901960784315</v>
      </c>
      <c r="R65" s="126" t="e">
        <f>VLOOKUP(G65,#REF!,11,0)*Q65</f>
        <v>#REF!</v>
      </c>
      <c r="S65" s="38" t="s">
        <v>33</v>
      </c>
      <c r="T65" s="38">
        <v>1620.75</v>
      </c>
      <c r="U65" s="38">
        <v>2</v>
      </c>
      <c r="V65" s="23" t="s">
        <v>31</v>
      </c>
      <c r="W65" s="23" t="s">
        <v>31</v>
      </c>
      <c r="X65" s="44" t="s">
        <v>93</v>
      </c>
      <c r="Y65" s="37">
        <v>1.5</v>
      </c>
      <c r="Z65" s="86" t="s">
        <v>94</v>
      </c>
      <c r="AA65" s="89" t="s">
        <v>31</v>
      </c>
      <c r="AB65" s="37" t="s">
        <v>95</v>
      </c>
      <c r="AC65" s="187"/>
      <c r="AD65" s="187">
        <v>2</v>
      </c>
      <c r="AE65" s="187" t="s">
        <v>402</v>
      </c>
      <c r="AF65" s="187"/>
      <c r="AG65" s="187"/>
      <c r="AH65" s="123" t="str">
        <f>IF(AG65=1,'BU FACILITIES'!$G$24,"")</f>
        <v/>
      </c>
      <c r="AI65" s="187"/>
      <c r="AJ65" s="196"/>
      <c r="AK65" s="120">
        <f>AJ65*'BU FACILITIES'!$G$21</f>
        <v>0</v>
      </c>
      <c r="AL65" s="196">
        <v>1</v>
      </c>
      <c r="AM65" s="121">
        <f>PRODUCT( AL65,'BU FACILITIES'!$G$22)</f>
        <v>870.73170731707319</v>
      </c>
      <c r="AN65" s="187"/>
      <c r="AO65" s="187"/>
      <c r="AP65" s="125" t="str">
        <f>IF(AO65=1,'BU FACILITIES'!$G$23,"")</f>
        <v/>
      </c>
      <c r="AQ65" s="187"/>
      <c r="AR65" s="187"/>
      <c r="AS65" s="122" t="str">
        <f>IF(AR65=300,AQ65*'BU FACILITIES'!$G$4, IF(AND(AR65&gt;300,AR65&lt;=500), AQ65*'BU FACILITIES'!$G$5, IF(AND(AR65&gt;500,AR65&lt;=1250), AQ65*'BU FACILITIES'!$G$6, IF(AND(AR65&gt;1250,AR65&lt;=2000),AQ65*'BU FACILITIES'!$G$7, ""))))</f>
        <v/>
      </c>
      <c r="AT65" s="187"/>
      <c r="AU65" s="187"/>
      <c r="AV65" s="122" t="str">
        <f>IF(AU65=100,AT65*'BU FACILITIES'!$G$8, IF(AND(AU65&gt;100,AU65&lt;=500), AT65*'BU FACILITIES'!$G$9, IF(AND(AU65&gt;500,AU65&lt;=800), AT65*'BU FACILITIES'!$G$10, IF(AND(AU65&gt;800,AU65&lt;=1000),AT65*'BU FACILITIES'!$G$11, IF(AND(AU65&gt;1000,AU65&lt;=1400),AT65*'BU FACILITIES'!$G$12, IF(AND(AU65&gt;1400,AU65&lt;=2000),AT65*'BU FACILITIES'!$G$13,""))))))</f>
        <v/>
      </c>
      <c r="AW65" s="187"/>
      <c r="AX65" s="187"/>
      <c r="AY65" s="122" t="str">
        <f>IF(AX65=30,AW65*'BU FACILITIES'!$G$14, IF(AX65=45, AW65*'BU FACILITIES'!$G$15, IF(AX65=450, AW65*'BU FACILITIES'!$G$16, "")))</f>
        <v/>
      </c>
      <c r="AZ65" s="187"/>
      <c r="BA65" s="187"/>
      <c r="BB65" s="187" t="str">
        <f>IF(AND(BA65&gt;=1,BA65&lt;=5),'BU FACILITIES'!$G$17, IF(AND(BA65&gt;5, BA65&lt;=10), 'BU FACILITIES'!$G$18, IF(AND(BA65&gt;10,BA65&lt;=20),'BU FACILITIES'!$G$19,"")))</f>
        <v/>
      </c>
      <c r="BC65" s="187"/>
      <c r="BD65" s="195" t="str">
        <f>IF(AND(AZ65="Modificar ductería de AA",BC65=1), 'BU FACILITIES'!$G$20, "")</f>
        <v/>
      </c>
    </row>
    <row r="66" spans="1:57" s="3" customFormat="1" ht="12.75" hidden="1" x14ac:dyDescent="0.2">
      <c r="A66" s="37" t="s">
        <v>90</v>
      </c>
      <c r="B66" s="38" t="s">
        <v>25</v>
      </c>
      <c r="C66" s="38" t="s">
        <v>26</v>
      </c>
      <c r="D66" s="38" t="s">
        <v>91</v>
      </c>
      <c r="E66" s="38" t="s">
        <v>92</v>
      </c>
      <c r="F66" s="38">
        <v>2023</v>
      </c>
      <c r="G66" s="23" t="s">
        <v>124</v>
      </c>
      <c r="H66" s="23" t="s">
        <v>66</v>
      </c>
      <c r="I66" s="23" t="s">
        <v>457</v>
      </c>
      <c r="J66" s="38" t="s">
        <v>32</v>
      </c>
      <c r="K66" s="23">
        <v>1</v>
      </c>
      <c r="L66" s="23">
        <v>6</v>
      </c>
      <c r="M66" s="23">
        <v>475</v>
      </c>
      <c r="N66" s="132">
        <v>0</v>
      </c>
      <c r="O66" s="23" t="s">
        <v>31</v>
      </c>
      <c r="P66" s="23">
        <f t="shared" si="2"/>
        <v>1200</v>
      </c>
      <c r="Q66" s="217" t="str">
        <f t="shared" si="1"/>
        <v>0</v>
      </c>
      <c r="R66" s="126" t="e">
        <f>VLOOKUP(G66,#REF!,11,0)*Q66</f>
        <v>#REF!</v>
      </c>
      <c r="S66" s="38" t="s">
        <v>33</v>
      </c>
      <c r="T66" s="38">
        <v>1620.75</v>
      </c>
      <c r="U66" s="38">
        <v>2</v>
      </c>
      <c r="V66" s="23" t="s">
        <v>31</v>
      </c>
      <c r="W66" s="23" t="s">
        <v>31</v>
      </c>
      <c r="X66" s="44" t="s">
        <v>93</v>
      </c>
      <c r="Y66" s="37">
        <v>1.5</v>
      </c>
      <c r="Z66" s="86" t="s">
        <v>94</v>
      </c>
      <c r="AA66" s="89" t="s">
        <v>31</v>
      </c>
      <c r="AB66" s="37" t="s">
        <v>95</v>
      </c>
      <c r="AC66" s="187"/>
      <c r="AD66" s="187">
        <v>3</v>
      </c>
      <c r="AE66" s="187" t="s">
        <v>460</v>
      </c>
      <c r="AF66" s="187"/>
      <c r="AG66" s="187"/>
      <c r="AH66" s="123" t="str">
        <f>IF(AG66=1,'BU FACILITIES'!$G$24,"")</f>
        <v/>
      </c>
      <c r="AI66" s="187"/>
      <c r="AJ66" s="196"/>
      <c r="AK66" s="120">
        <f>AJ66*'BU FACILITIES'!$G$21</f>
        <v>0</v>
      </c>
      <c r="AL66" s="196">
        <v>1</v>
      </c>
      <c r="AM66" s="121">
        <f>PRODUCT( AL66,'BU FACILITIES'!$G$22)</f>
        <v>870.73170731707319</v>
      </c>
      <c r="AN66" s="187"/>
      <c r="AO66" s="187"/>
      <c r="AP66" s="125" t="str">
        <f>IF(AO66=1,'BU FACILITIES'!$G$23,"")</f>
        <v/>
      </c>
      <c r="AQ66" s="187"/>
      <c r="AR66" s="187"/>
      <c r="AS66" s="122" t="str">
        <f>IF(AR66=300,AQ66*'BU FACILITIES'!$G$4, IF(AND(AR66&gt;300,AR66&lt;=500), AQ66*'BU FACILITIES'!$G$5, IF(AND(AR66&gt;500,AR66&lt;=1250), AQ66*'BU FACILITIES'!$G$6, IF(AND(AR66&gt;1250,AR66&lt;=2000),AQ66*'BU FACILITIES'!$G$7, ""))))</f>
        <v/>
      </c>
      <c r="AT66" s="187"/>
      <c r="AU66" s="187"/>
      <c r="AV66" s="122" t="str">
        <f>IF(AU66=100,AT66*'BU FACILITIES'!$G$8, IF(AND(AU66&gt;100,AU66&lt;=500), AT66*'BU FACILITIES'!$G$9, IF(AND(AU66&gt;500,AU66&lt;=800), AT66*'BU FACILITIES'!$G$10, IF(AND(AU66&gt;800,AU66&lt;=1000),AT66*'BU FACILITIES'!$G$11, IF(AND(AU66&gt;1000,AU66&lt;=1400),AT66*'BU FACILITIES'!$G$12, IF(AND(AU66&gt;1400,AU66&lt;=2000),AT66*'BU FACILITIES'!$G$13,""))))))</f>
        <v/>
      </c>
      <c r="AW66" s="187"/>
      <c r="AX66" s="187"/>
      <c r="AY66" s="122" t="str">
        <f>IF(AX66=30,AW66*'BU FACILITIES'!$G$14, IF(AX66=45, AW66*'BU FACILITIES'!$G$15, IF(AX66=450, AW66*'BU FACILITIES'!$G$16, "")))</f>
        <v/>
      </c>
      <c r="AZ66" s="187" t="s">
        <v>469</v>
      </c>
      <c r="BA66" s="187"/>
      <c r="BB66" s="187" t="str">
        <f>IF(AND(BA66&gt;=1,BA66&lt;=5),'BU FACILITIES'!$G$17, IF(AND(BA66&gt;5, BA66&lt;=10), 'BU FACILITIES'!$G$18, IF(AND(BA66&gt;10,BA66&lt;=20),'BU FACILITIES'!$G$19,"")))</f>
        <v/>
      </c>
      <c r="BC66" s="187">
        <v>1</v>
      </c>
      <c r="BD66" s="195">
        <f>IF(AND(AZ66="Modificar ductería de AA",BC66=1), 'BU FACILITIES'!$G$20, "")</f>
        <v>9756.0975609756097</v>
      </c>
    </row>
    <row r="67" spans="1:57" s="3" customFormat="1" ht="12.75" hidden="1" x14ac:dyDescent="0.2">
      <c r="A67" s="37" t="s">
        <v>90</v>
      </c>
      <c r="B67" s="38" t="s">
        <v>25</v>
      </c>
      <c r="C67" s="38" t="s">
        <v>26</v>
      </c>
      <c r="D67" s="38" t="s">
        <v>91</v>
      </c>
      <c r="E67" s="38" t="s">
        <v>92</v>
      </c>
      <c r="F67" s="38">
        <v>2023</v>
      </c>
      <c r="G67" s="23" t="s">
        <v>41</v>
      </c>
      <c r="H67" s="23" t="s">
        <v>66</v>
      </c>
      <c r="I67" s="23" t="s">
        <v>457</v>
      </c>
      <c r="J67" s="38" t="s">
        <v>32</v>
      </c>
      <c r="K67" s="23">
        <v>1</v>
      </c>
      <c r="L67" s="23">
        <v>6</v>
      </c>
      <c r="M67" s="23">
        <v>475</v>
      </c>
      <c r="N67" s="134">
        <v>2850</v>
      </c>
      <c r="O67" s="23" t="s">
        <v>31</v>
      </c>
      <c r="P67" s="23">
        <f t="shared" si="2"/>
        <v>4050</v>
      </c>
      <c r="Q67" s="217">
        <f t="shared" si="1"/>
        <v>0.70370370370370372</v>
      </c>
      <c r="R67" s="126" t="e">
        <f>VLOOKUP(G67,#REF!,11,0)*Q67</f>
        <v>#REF!</v>
      </c>
      <c r="S67" s="38" t="s">
        <v>33</v>
      </c>
      <c r="T67" s="38">
        <v>1620.75</v>
      </c>
      <c r="U67" s="38">
        <v>2</v>
      </c>
      <c r="V67" s="23" t="s">
        <v>31</v>
      </c>
      <c r="W67" s="23" t="s">
        <v>31</v>
      </c>
      <c r="X67" s="39" t="s">
        <v>93</v>
      </c>
      <c r="Y67" s="38">
        <v>1.5</v>
      </c>
      <c r="Z67" s="86" t="s">
        <v>94</v>
      </c>
      <c r="AA67" s="89" t="s">
        <v>31</v>
      </c>
      <c r="AB67" s="37" t="s">
        <v>95</v>
      </c>
      <c r="AC67" s="187" t="s">
        <v>519</v>
      </c>
      <c r="AD67" s="187">
        <v>5</v>
      </c>
      <c r="AE67" s="187" t="s">
        <v>460</v>
      </c>
      <c r="AF67" s="187"/>
      <c r="AG67" s="187"/>
      <c r="AH67" s="123" t="str">
        <f>IF(AG67=1,'BU FACILITIES'!$G$24,"")</f>
        <v/>
      </c>
      <c r="AI67" s="187"/>
      <c r="AJ67" s="196"/>
      <c r="AK67" s="120">
        <f>AJ67*'BU FACILITIES'!$G$21</f>
        <v>0</v>
      </c>
      <c r="AL67" s="196">
        <v>1</v>
      </c>
      <c r="AM67" s="121">
        <f>PRODUCT( AL67,'BU FACILITIES'!$G$22)</f>
        <v>870.73170731707319</v>
      </c>
      <c r="AN67" s="187"/>
      <c r="AO67" s="187"/>
      <c r="AP67" s="125" t="str">
        <f>IF(AO67=1,'BU FACILITIES'!$G$23,"")</f>
        <v/>
      </c>
      <c r="AQ67" s="187"/>
      <c r="AR67" s="187"/>
      <c r="AS67" s="122" t="str">
        <f>IF(AR67=300,AQ67*'BU FACILITIES'!$G$4, IF(AND(AR67&gt;300,AR67&lt;=500), AQ67*'BU FACILITIES'!$G$5, IF(AND(AR67&gt;500,AR67&lt;=1250), AQ67*'BU FACILITIES'!$G$6, IF(AND(AR67&gt;1250,AR67&lt;=2000),AQ67*'BU FACILITIES'!$G$7, ""))))</f>
        <v/>
      </c>
      <c r="AT67" s="187"/>
      <c r="AU67" s="187"/>
      <c r="AV67" s="122" t="str">
        <f>IF(AU67=100,AT67*'BU FACILITIES'!$G$8, IF(AND(AU67&gt;100,AU67&lt;=500), AT67*'BU FACILITIES'!$G$9, IF(AND(AU67&gt;500,AU67&lt;=800), AT67*'BU FACILITIES'!$G$10, IF(AND(AU67&gt;800,AU67&lt;=1000),AT67*'BU FACILITIES'!$G$11, IF(AND(AU67&gt;1000,AU67&lt;=1400),AT67*'BU FACILITIES'!$G$12, IF(AND(AU67&gt;1400,AU67&lt;=2000),AT67*'BU FACILITIES'!$G$13,""))))))</f>
        <v/>
      </c>
      <c r="AW67" s="187"/>
      <c r="AX67" s="187"/>
      <c r="AY67" s="122" t="str">
        <f>IF(AX67=30,AW67*'BU FACILITIES'!$G$14, IF(AX67=45, AW67*'BU FACILITIES'!$G$15, IF(AX67=450, AW67*'BU FACILITIES'!$G$16, "")))</f>
        <v/>
      </c>
      <c r="AZ67" s="187"/>
      <c r="BA67" s="187"/>
      <c r="BB67" s="187" t="str">
        <f>IF(AND(BA67&gt;=1,BA67&lt;=5),'BU FACILITIES'!$G$17, IF(AND(BA67&gt;5, BA67&lt;=10), 'BU FACILITIES'!$G$18, IF(AND(BA67&gt;10,BA67&lt;=20),'BU FACILITIES'!$G$19,"")))</f>
        <v/>
      </c>
      <c r="BC67" s="187"/>
      <c r="BD67" s="195" t="str">
        <f>IF(AND(AZ67="Modificar ductería de AA",BC67=1), 'BU FACILITIES'!$G$20, "")</f>
        <v/>
      </c>
    </row>
    <row r="68" spans="1:57" s="3" customFormat="1" ht="12.75" hidden="1" x14ac:dyDescent="0.2">
      <c r="A68" s="37" t="s">
        <v>90</v>
      </c>
      <c r="B68" s="38" t="s">
        <v>25</v>
      </c>
      <c r="C68" s="38" t="s">
        <v>26</v>
      </c>
      <c r="D68" s="38" t="s">
        <v>91</v>
      </c>
      <c r="E68" s="38" t="s">
        <v>92</v>
      </c>
      <c r="F68" s="38">
        <v>2023</v>
      </c>
      <c r="G68" s="23" t="s">
        <v>126</v>
      </c>
      <c r="H68" s="23" t="s">
        <v>66</v>
      </c>
      <c r="I68" s="23" t="s">
        <v>457</v>
      </c>
      <c r="J68" s="38" t="s">
        <v>32</v>
      </c>
      <c r="K68" s="23">
        <v>1</v>
      </c>
      <c r="L68" s="23">
        <v>6</v>
      </c>
      <c r="M68" s="23">
        <v>475</v>
      </c>
      <c r="N68" s="134">
        <v>2850</v>
      </c>
      <c r="O68" s="23" t="s">
        <v>31</v>
      </c>
      <c r="P68" s="23">
        <f t="shared" si="2"/>
        <v>2850</v>
      </c>
      <c r="Q68" s="217">
        <f t="shared" si="1"/>
        <v>1</v>
      </c>
      <c r="R68" s="126" t="e">
        <f>VLOOKUP(G68,#REF!,11,0)*Q68</f>
        <v>#REF!</v>
      </c>
      <c r="S68" s="38" t="s">
        <v>33</v>
      </c>
      <c r="T68" s="38">
        <v>1620.75</v>
      </c>
      <c r="U68" s="38">
        <v>2</v>
      </c>
      <c r="V68" s="23" t="s">
        <v>31</v>
      </c>
      <c r="W68" s="23" t="s">
        <v>31</v>
      </c>
      <c r="X68" s="44" t="s">
        <v>93</v>
      </c>
      <c r="Y68" s="37">
        <v>1.5</v>
      </c>
      <c r="Z68" s="86" t="s">
        <v>94</v>
      </c>
      <c r="AA68" s="89" t="s">
        <v>31</v>
      </c>
      <c r="AB68" s="37" t="s">
        <v>95</v>
      </c>
      <c r="AC68" s="187"/>
      <c r="AD68" s="187"/>
      <c r="AE68" s="187" t="s">
        <v>402</v>
      </c>
      <c r="AF68" s="187"/>
      <c r="AG68" s="187"/>
      <c r="AH68" s="123" t="str">
        <f>IF(AG68=1,'BU FACILITIES'!$G$24,"")</f>
        <v/>
      </c>
      <c r="AI68" s="187"/>
      <c r="AJ68" s="196"/>
      <c r="AK68" s="120">
        <f>AJ68*'BU FACILITIES'!$G$21</f>
        <v>0</v>
      </c>
      <c r="AL68" s="196">
        <v>1</v>
      </c>
      <c r="AM68" s="121">
        <f>PRODUCT( AL68,'BU FACILITIES'!$G$22)</f>
        <v>870.73170731707319</v>
      </c>
      <c r="AN68" s="187"/>
      <c r="AO68" s="187"/>
      <c r="AP68" s="125" t="str">
        <f>IF(AO68=1,'BU FACILITIES'!$G$23,"")</f>
        <v/>
      </c>
      <c r="AQ68" s="187"/>
      <c r="AR68" s="187"/>
      <c r="AS68" s="122" t="str">
        <f>IF(AR68=300,AQ68*'BU FACILITIES'!$G$4, IF(AND(AR68&gt;300,AR68&lt;=500), AQ68*'BU FACILITIES'!$G$5, IF(AND(AR68&gt;500,AR68&lt;=1250), AQ68*'BU FACILITIES'!$G$6, IF(AND(AR68&gt;1250,AR68&lt;=2000),AQ68*'BU FACILITIES'!$G$7, ""))))</f>
        <v/>
      </c>
      <c r="AT68" s="187"/>
      <c r="AU68" s="187"/>
      <c r="AV68" s="122" t="str">
        <f>IF(AU68=100,AT68*'BU FACILITIES'!$G$8, IF(AND(AU68&gt;100,AU68&lt;=500), AT68*'BU FACILITIES'!$G$9, IF(AND(AU68&gt;500,AU68&lt;=800), AT68*'BU FACILITIES'!$G$10, IF(AND(AU68&gt;800,AU68&lt;=1000),AT68*'BU FACILITIES'!$G$11, IF(AND(AU68&gt;1000,AU68&lt;=1400),AT68*'BU FACILITIES'!$G$12, IF(AND(AU68&gt;1400,AU68&lt;=2000),AT68*'BU FACILITIES'!$G$13,""))))))</f>
        <v/>
      </c>
      <c r="AW68" s="187"/>
      <c r="AX68" s="187"/>
      <c r="AY68" s="122" t="str">
        <f>IF(AX68=30,AW68*'BU FACILITIES'!$G$14, IF(AX68=45, AW68*'BU FACILITIES'!$G$15, IF(AX68=450, AW68*'BU FACILITIES'!$G$16, "")))</f>
        <v/>
      </c>
      <c r="AZ68" s="187"/>
      <c r="BA68" s="187"/>
      <c r="BB68" s="187" t="str">
        <f>IF(AND(BA68&gt;=1,BA68&lt;=5),'BU FACILITIES'!$G$17, IF(AND(BA68&gt;5, BA68&lt;=10), 'BU FACILITIES'!$G$18, IF(AND(BA68&gt;10,BA68&lt;=20),'BU FACILITIES'!$G$19,"")))</f>
        <v/>
      </c>
      <c r="BC68" s="187"/>
      <c r="BD68" s="195" t="str">
        <f>IF(AND(AZ68="Modificar ductería de AA",BC68=1), 'BU FACILITIES'!$G$20, "")</f>
        <v/>
      </c>
    </row>
    <row r="69" spans="1:57" s="3" customFormat="1" ht="12.75" hidden="1" x14ac:dyDescent="0.2">
      <c r="A69" s="37" t="s">
        <v>90</v>
      </c>
      <c r="B69" s="38" t="s">
        <v>25</v>
      </c>
      <c r="C69" s="38" t="s">
        <v>26</v>
      </c>
      <c r="D69" s="38" t="s">
        <v>91</v>
      </c>
      <c r="E69" s="38" t="s">
        <v>92</v>
      </c>
      <c r="F69" s="38">
        <v>2023</v>
      </c>
      <c r="G69" s="23" t="s">
        <v>127</v>
      </c>
      <c r="H69" s="23" t="s">
        <v>127</v>
      </c>
      <c r="I69" s="23" t="s">
        <v>457</v>
      </c>
      <c r="J69" s="38" t="s">
        <v>32</v>
      </c>
      <c r="K69" s="23">
        <v>1</v>
      </c>
      <c r="L69" s="23">
        <v>6</v>
      </c>
      <c r="M69" s="23">
        <v>475</v>
      </c>
      <c r="N69" s="134">
        <v>2850</v>
      </c>
      <c r="O69" s="23" t="s">
        <v>31</v>
      </c>
      <c r="P69" s="23">
        <f t="shared" si="2"/>
        <v>2850</v>
      </c>
      <c r="Q69" s="217">
        <f t="shared" si="1"/>
        <v>1</v>
      </c>
      <c r="R69" s="126" t="e">
        <f>VLOOKUP(G69,#REF!,11,0)*Q69</f>
        <v>#REF!</v>
      </c>
      <c r="S69" s="38" t="s">
        <v>33</v>
      </c>
      <c r="T69" s="38">
        <v>1620.75</v>
      </c>
      <c r="U69" s="38">
        <v>12</v>
      </c>
      <c r="V69" s="23" t="s">
        <v>31</v>
      </c>
      <c r="W69" s="23" t="s">
        <v>31</v>
      </c>
      <c r="X69" s="44" t="s">
        <v>93</v>
      </c>
      <c r="Y69" s="37">
        <v>1.5</v>
      </c>
      <c r="Z69" s="86" t="s">
        <v>94</v>
      </c>
      <c r="AA69" s="89" t="s">
        <v>31</v>
      </c>
      <c r="AB69" s="37" t="s">
        <v>95</v>
      </c>
      <c r="AC69" s="187" t="s">
        <v>520</v>
      </c>
      <c r="AD69" s="187">
        <v>5</v>
      </c>
      <c r="AE69" s="187" t="s">
        <v>460</v>
      </c>
      <c r="AF69" s="187"/>
      <c r="AG69" s="187"/>
      <c r="AH69" s="123" t="str">
        <f>IF(AG69=1,'BU FACILITIES'!$G$24,"")</f>
        <v/>
      </c>
      <c r="AI69" s="187" t="s">
        <v>454</v>
      </c>
      <c r="AJ69" s="196">
        <v>1</v>
      </c>
      <c r="AK69" s="120">
        <f>AJ69*'BU FACILITIES'!$G$21</f>
        <v>1714.6341463414635</v>
      </c>
      <c r="AL69" s="196">
        <v>1</v>
      </c>
      <c r="AM69" s="121">
        <f>PRODUCT( AL69,'BU FACILITIES'!$G$22)</f>
        <v>870.73170731707319</v>
      </c>
      <c r="AN69" s="187"/>
      <c r="AO69" s="187"/>
      <c r="AP69" s="125" t="str">
        <f>IF(AO69=1,'BU FACILITIES'!$G$23,"")</f>
        <v/>
      </c>
      <c r="AQ69" s="187"/>
      <c r="AR69" s="187"/>
      <c r="AS69" s="122" t="str">
        <f>IF(AR69=300,AQ69*'BU FACILITIES'!$G$4, IF(AND(AR69&gt;300,AR69&lt;=500), AQ69*'BU FACILITIES'!$G$5, IF(AND(AR69&gt;500,AR69&lt;=1250), AQ69*'BU FACILITIES'!$G$6, IF(AND(AR69&gt;1250,AR69&lt;=2000),AQ69*'BU FACILITIES'!$G$7, ""))))</f>
        <v/>
      </c>
      <c r="AT69" s="187"/>
      <c r="AU69" s="187"/>
      <c r="AV69" s="122" t="str">
        <f>IF(AU69=100,AT69*'BU FACILITIES'!$G$8, IF(AND(AU69&gt;100,AU69&lt;=500), AT69*'BU FACILITIES'!$G$9, IF(AND(AU69&gt;500,AU69&lt;=800), AT69*'BU FACILITIES'!$G$10, IF(AND(AU69&gt;800,AU69&lt;=1000),AT69*'BU FACILITIES'!$G$11, IF(AND(AU69&gt;1000,AU69&lt;=1400),AT69*'BU FACILITIES'!$G$12, IF(AND(AU69&gt;1400,AU69&lt;=2000),AT69*'BU FACILITIES'!$G$13,""))))))</f>
        <v/>
      </c>
      <c r="AW69" s="187"/>
      <c r="AX69" s="187"/>
      <c r="AY69" s="122" t="str">
        <f>IF(AX69=30,AW69*'BU FACILITIES'!$G$14, IF(AX69=45, AW69*'BU FACILITIES'!$G$15, IF(AX69=450, AW69*'BU FACILITIES'!$G$16, "")))</f>
        <v/>
      </c>
      <c r="AZ69" s="187"/>
      <c r="BA69" s="187"/>
      <c r="BB69" s="187" t="str">
        <f>IF(AND(BA69&gt;=1,BA69&lt;=5),'BU FACILITIES'!$G$17, IF(AND(BA69&gt;5, BA69&lt;=10), 'BU FACILITIES'!$G$18, IF(AND(BA69&gt;10,BA69&lt;=20),'BU FACILITIES'!$G$19,"")))</f>
        <v/>
      </c>
      <c r="BC69" s="187"/>
      <c r="BD69" s="195" t="str">
        <f>IF(AND(AZ69="Modificar ductería de AA",BC69=1), 'BU FACILITIES'!$G$20, "")</f>
        <v/>
      </c>
    </row>
    <row r="70" spans="1:57" s="3" customFormat="1" ht="12.75" hidden="1" x14ac:dyDescent="0.2">
      <c r="A70" s="37" t="s">
        <v>90</v>
      </c>
      <c r="B70" s="38" t="s">
        <v>25</v>
      </c>
      <c r="C70" s="38" t="s">
        <v>26</v>
      </c>
      <c r="D70" s="38" t="s">
        <v>91</v>
      </c>
      <c r="E70" s="38" t="s">
        <v>92</v>
      </c>
      <c r="F70" s="38">
        <v>2023</v>
      </c>
      <c r="G70" s="23" t="s">
        <v>128</v>
      </c>
      <c r="H70" s="23" t="s">
        <v>128</v>
      </c>
      <c r="I70" s="23" t="s">
        <v>457</v>
      </c>
      <c r="J70" s="38" t="s">
        <v>32</v>
      </c>
      <c r="K70" s="23">
        <v>1</v>
      </c>
      <c r="L70" s="23">
        <v>6</v>
      </c>
      <c r="M70" s="23">
        <v>475</v>
      </c>
      <c r="N70" s="134">
        <v>2850</v>
      </c>
      <c r="O70" s="23" t="s">
        <v>31</v>
      </c>
      <c r="P70" s="23">
        <f t="shared" si="2"/>
        <v>2850</v>
      </c>
      <c r="Q70" s="217">
        <f t="shared" si="1"/>
        <v>1</v>
      </c>
      <c r="R70" s="126" t="e">
        <f>VLOOKUP(G70,#REF!,11,0)*Q70</f>
        <v>#REF!</v>
      </c>
      <c r="S70" s="38" t="s">
        <v>33</v>
      </c>
      <c r="T70" s="38">
        <v>1620.75</v>
      </c>
      <c r="U70" s="38">
        <v>2</v>
      </c>
      <c r="V70" s="23" t="s">
        <v>31</v>
      </c>
      <c r="W70" s="23" t="s">
        <v>31</v>
      </c>
      <c r="X70" s="44" t="s">
        <v>93</v>
      </c>
      <c r="Y70" s="37">
        <v>1.5</v>
      </c>
      <c r="Z70" s="86" t="s">
        <v>94</v>
      </c>
      <c r="AA70" s="89" t="s">
        <v>31</v>
      </c>
      <c r="AB70" s="37" t="s">
        <v>95</v>
      </c>
      <c r="AC70" s="187" t="s">
        <v>521</v>
      </c>
      <c r="AD70" s="187">
        <v>5</v>
      </c>
      <c r="AE70" s="187" t="s">
        <v>460</v>
      </c>
      <c r="AF70" s="187"/>
      <c r="AG70" s="187"/>
      <c r="AH70" s="123" t="str">
        <f>IF(AG70=1,'BU FACILITIES'!$G$24,"")</f>
        <v/>
      </c>
      <c r="AI70" s="187" t="s">
        <v>454</v>
      </c>
      <c r="AJ70" s="196">
        <v>1</v>
      </c>
      <c r="AK70" s="120">
        <f>AJ70*'BU FACILITIES'!$G$21</f>
        <v>1714.6341463414635</v>
      </c>
      <c r="AL70" s="196">
        <v>1</v>
      </c>
      <c r="AM70" s="121">
        <f>PRODUCT( AL70,'BU FACILITIES'!$G$22)</f>
        <v>870.73170731707319</v>
      </c>
      <c r="AN70" s="187"/>
      <c r="AO70" s="187"/>
      <c r="AP70" s="125" t="str">
        <f>IF(AO70=1,'BU FACILITIES'!$G$23,"")</f>
        <v/>
      </c>
      <c r="AQ70" s="187"/>
      <c r="AR70" s="187"/>
      <c r="AS70" s="122" t="str">
        <f>IF(AR70=300,AQ70*'BU FACILITIES'!$G$4, IF(AND(AR70&gt;300,AR70&lt;=500), AQ70*'BU FACILITIES'!$G$5, IF(AND(AR70&gt;500,AR70&lt;=1250), AQ70*'BU FACILITIES'!$G$6, IF(AND(AR70&gt;1250,AR70&lt;=2000),AQ70*'BU FACILITIES'!$G$7, ""))))</f>
        <v/>
      </c>
      <c r="AT70" s="187"/>
      <c r="AU70" s="187"/>
      <c r="AV70" s="122" t="str">
        <f>IF(AU70=100,AT70*'BU FACILITIES'!$G$8, IF(AND(AU70&gt;100,AU70&lt;=500), AT70*'BU FACILITIES'!$G$9, IF(AND(AU70&gt;500,AU70&lt;=800), AT70*'BU FACILITIES'!$G$10, IF(AND(AU70&gt;800,AU70&lt;=1000),AT70*'BU FACILITIES'!$G$11, IF(AND(AU70&gt;1000,AU70&lt;=1400),AT70*'BU FACILITIES'!$G$12, IF(AND(AU70&gt;1400,AU70&lt;=2000),AT70*'BU FACILITIES'!$G$13,""))))))</f>
        <v/>
      </c>
      <c r="AW70" s="187"/>
      <c r="AX70" s="187"/>
      <c r="AY70" s="122" t="str">
        <f>IF(AX70=30,AW70*'BU FACILITIES'!$G$14, IF(AX70=45, AW70*'BU FACILITIES'!$G$15, IF(AX70=450, AW70*'BU FACILITIES'!$G$16, "")))</f>
        <v/>
      </c>
      <c r="AZ70" s="187"/>
      <c r="BA70" s="187"/>
      <c r="BB70" s="187" t="str">
        <f>IF(AND(BA70&gt;=1,BA70&lt;=5),'BU FACILITIES'!$G$17, IF(AND(BA70&gt;5, BA70&lt;=10), 'BU FACILITIES'!$G$18, IF(AND(BA70&gt;10,BA70&lt;=20),'BU FACILITIES'!$G$19,"")))</f>
        <v/>
      </c>
      <c r="BC70" s="187"/>
      <c r="BD70" s="195" t="str">
        <f>IF(AND(AZ70="Modificar ductería de AA",BC70=1), 'BU FACILITIES'!$G$20, "")</f>
        <v/>
      </c>
    </row>
    <row r="71" spans="1:57" s="3" customFormat="1" ht="12.75" hidden="1" x14ac:dyDescent="0.2">
      <c r="A71" s="37" t="s">
        <v>90</v>
      </c>
      <c r="B71" s="38" t="s">
        <v>25</v>
      </c>
      <c r="C71" s="38" t="s">
        <v>26</v>
      </c>
      <c r="D71" s="38" t="s">
        <v>91</v>
      </c>
      <c r="E71" s="38" t="s">
        <v>92</v>
      </c>
      <c r="F71" s="38">
        <v>2023</v>
      </c>
      <c r="G71" s="23" t="s">
        <v>129</v>
      </c>
      <c r="H71" s="23" t="s">
        <v>129</v>
      </c>
      <c r="I71" s="23" t="s">
        <v>457</v>
      </c>
      <c r="J71" s="38" t="s">
        <v>32</v>
      </c>
      <c r="K71" s="23">
        <v>2</v>
      </c>
      <c r="L71" s="23">
        <v>10</v>
      </c>
      <c r="M71" s="23">
        <v>475</v>
      </c>
      <c r="N71" s="132">
        <v>0</v>
      </c>
      <c r="O71" s="23" t="s">
        <v>31</v>
      </c>
      <c r="P71" s="23">
        <f t="shared" si="2"/>
        <v>1200</v>
      </c>
      <c r="Q71" s="217" t="str">
        <f t="shared" si="1"/>
        <v>0</v>
      </c>
      <c r="R71" s="126" t="e">
        <f>VLOOKUP(G71,#REF!,11,0)*Q71</f>
        <v>#REF!</v>
      </c>
      <c r="S71" s="38" t="s">
        <v>33</v>
      </c>
      <c r="T71" s="38">
        <v>1620.75</v>
      </c>
      <c r="U71" s="38">
        <v>4</v>
      </c>
      <c r="V71" s="23" t="s">
        <v>31</v>
      </c>
      <c r="W71" s="23" t="s">
        <v>31</v>
      </c>
      <c r="X71" s="44" t="s">
        <v>93</v>
      </c>
      <c r="Y71" s="37">
        <v>3</v>
      </c>
      <c r="Z71" s="86" t="s">
        <v>94</v>
      </c>
      <c r="AA71" s="89" t="s">
        <v>31</v>
      </c>
      <c r="AB71" s="37" t="s">
        <v>95</v>
      </c>
      <c r="AC71" s="187" t="s">
        <v>522</v>
      </c>
      <c r="AD71" s="187">
        <v>3</v>
      </c>
      <c r="AE71" s="187" t="s">
        <v>460</v>
      </c>
      <c r="AF71" s="187"/>
      <c r="AG71" s="187"/>
      <c r="AH71" s="123" t="str">
        <f>IF(AG71=1,'BU FACILITIES'!$G$24,"")</f>
        <v/>
      </c>
      <c r="AI71" s="187" t="s">
        <v>454</v>
      </c>
      <c r="AJ71" s="196">
        <v>1</v>
      </c>
      <c r="AK71" s="120">
        <f>AJ71*'BU FACILITIES'!$G$21</f>
        <v>1714.6341463414635</v>
      </c>
      <c r="AL71" s="196">
        <v>1</v>
      </c>
      <c r="AM71" s="121">
        <f>PRODUCT( AL71,'BU FACILITIES'!$G$22)</f>
        <v>870.73170731707319</v>
      </c>
      <c r="AN71" s="187"/>
      <c r="AO71" s="187"/>
      <c r="AP71" s="125" t="str">
        <f>IF(AO71=1,'BU FACILITIES'!$G$23,"")</f>
        <v/>
      </c>
      <c r="AQ71" s="187"/>
      <c r="AR71" s="187"/>
      <c r="AS71" s="122" t="str">
        <f>IF(AR71=300,AQ71*'BU FACILITIES'!$G$4, IF(AND(AR71&gt;300,AR71&lt;=500), AQ71*'BU FACILITIES'!$G$5, IF(AND(AR71&gt;500,AR71&lt;=1250), AQ71*'BU FACILITIES'!$G$6, IF(AND(AR71&gt;1250,AR71&lt;=2000),AQ71*'BU FACILITIES'!$G$7, ""))))</f>
        <v/>
      </c>
      <c r="AT71" s="187"/>
      <c r="AU71" s="187"/>
      <c r="AV71" s="122" t="str">
        <f>IF(AU71=100,AT71*'BU FACILITIES'!$G$8, IF(AND(AU71&gt;100,AU71&lt;=500), AT71*'BU FACILITIES'!$G$9, IF(AND(AU71&gt;500,AU71&lt;=800), AT71*'BU FACILITIES'!$G$10, IF(AND(AU71&gt;800,AU71&lt;=1000),AT71*'BU FACILITIES'!$G$11, IF(AND(AU71&gt;1000,AU71&lt;=1400),AT71*'BU FACILITIES'!$G$12, IF(AND(AU71&gt;1400,AU71&lt;=2000),AT71*'BU FACILITIES'!$G$13,""))))))</f>
        <v/>
      </c>
      <c r="AW71" s="187"/>
      <c r="AX71" s="187"/>
      <c r="AY71" s="122" t="str">
        <f>IF(AX71=30,AW71*'BU FACILITIES'!$G$14, IF(AX71=45, AW71*'BU FACILITIES'!$G$15, IF(AX71=450, AW71*'BU FACILITIES'!$G$16, "")))</f>
        <v/>
      </c>
      <c r="AZ71" s="187" t="s">
        <v>469</v>
      </c>
      <c r="BA71" s="187"/>
      <c r="BB71" s="187" t="str">
        <f>IF(AND(BA71&gt;=1,BA71&lt;=5),'BU FACILITIES'!$G$17, IF(AND(BA71&gt;5, BA71&lt;=10), 'BU FACILITIES'!$G$18, IF(AND(BA71&gt;10,BA71&lt;=20),'BU FACILITIES'!$G$19,"")))</f>
        <v/>
      </c>
      <c r="BC71" s="187">
        <v>1</v>
      </c>
      <c r="BD71" s="195">
        <f>IF(AND(AZ71="Modificar ductería de AA",BC71=1), 'BU FACILITIES'!$G$20, "")</f>
        <v>9756.0975609756097</v>
      </c>
    </row>
    <row r="72" spans="1:57" s="3" customFormat="1" ht="12.75" hidden="1" x14ac:dyDescent="0.2">
      <c r="A72" s="37" t="s">
        <v>90</v>
      </c>
      <c r="B72" s="38" t="s">
        <v>25</v>
      </c>
      <c r="C72" s="38" t="s">
        <v>26</v>
      </c>
      <c r="D72" s="38" t="s">
        <v>91</v>
      </c>
      <c r="E72" s="38" t="s">
        <v>92</v>
      </c>
      <c r="F72" s="38">
        <v>2023</v>
      </c>
      <c r="G72" s="23" t="s">
        <v>130</v>
      </c>
      <c r="H72" s="23" t="s">
        <v>130</v>
      </c>
      <c r="I72" s="23" t="s">
        <v>457</v>
      </c>
      <c r="J72" s="38" t="s">
        <v>32</v>
      </c>
      <c r="K72" s="23">
        <v>1</v>
      </c>
      <c r="L72" s="23">
        <v>6</v>
      </c>
      <c r="M72" s="23">
        <v>475</v>
      </c>
      <c r="N72" s="134">
        <v>2850</v>
      </c>
      <c r="O72" s="23" t="s">
        <v>31</v>
      </c>
      <c r="P72" s="23">
        <f t="shared" si="2"/>
        <v>3450</v>
      </c>
      <c r="Q72" s="217">
        <f t="shared" si="1"/>
        <v>0.82608695652173914</v>
      </c>
      <c r="R72" s="126" t="e">
        <f>VLOOKUP(G72,#REF!,11,0)*Q72</f>
        <v>#REF!</v>
      </c>
      <c r="S72" s="38" t="s">
        <v>33</v>
      </c>
      <c r="T72" s="38">
        <v>1620.75</v>
      </c>
      <c r="U72" s="38">
        <v>2</v>
      </c>
      <c r="V72" s="23" t="s">
        <v>31</v>
      </c>
      <c r="W72" s="23" t="s">
        <v>31</v>
      </c>
      <c r="X72" s="44" t="s">
        <v>93</v>
      </c>
      <c r="Y72" s="37">
        <v>1.5</v>
      </c>
      <c r="Z72" s="86" t="s">
        <v>94</v>
      </c>
      <c r="AA72" s="89" t="s">
        <v>31</v>
      </c>
      <c r="AB72" s="37" t="s">
        <v>95</v>
      </c>
      <c r="AC72" s="187"/>
      <c r="AD72" s="187">
        <v>3</v>
      </c>
      <c r="AE72" s="187" t="s">
        <v>402</v>
      </c>
      <c r="AF72" s="187"/>
      <c r="AG72" s="187"/>
      <c r="AH72" s="123" t="str">
        <f>IF(AG72=1,'BU FACILITIES'!$G$24,"")</f>
        <v/>
      </c>
      <c r="AI72" s="187"/>
      <c r="AJ72" s="196"/>
      <c r="AK72" s="120">
        <f>AJ72*'BU FACILITIES'!$G$21</f>
        <v>0</v>
      </c>
      <c r="AL72" s="196">
        <v>1</v>
      </c>
      <c r="AM72" s="121">
        <f>PRODUCT( AL72,'BU FACILITIES'!$G$22)</f>
        <v>870.73170731707319</v>
      </c>
      <c r="AN72" s="187"/>
      <c r="AO72" s="187"/>
      <c r="AP72" s="125" t="str">
        <f>IF(AO72=1,'BU FACILITIES'!$G$23,"")</f>
        <v/>
      </c>
      <c r="AQ72" s="187"/>
      <c r="AR72" s="187"/>
      <c r="AS72" s="122" t="str">
        <f>IF(AR72=300,AQ72*'BU FACILITIES'!$G$4, IF(AND(AR72&gt;300,AR72&lt;=500), AQ72*'BU FACILITIES'!$G$5, IF(AND(AR72&gt;500,AR72&lt;=1250), AQ72*'BU FACILITIES'!$G$6, IF(AND(AR72&gt;1250,AR72&lt;=2000),AQ72*'BU FACILITIES'!$G$7, ""))))</f>
        <v/>
      </c>
      <c r="AT72" s="187"/>
      <c r="AU72" s="187"/>
      <c r="AV72" s="122" t="str">
        <f>IF(AU72=100,AT72*'BU FACILITIES'!$G$8, IF(AND(AU72&gt;100,AU72&lt;=500), AT72*'BU FACILITIES'!$G$9, IF(AND(AU72&gt;500,AU72&lt;=800), AT72*'BU FACILITIES'!$G$10, IF(AND(AU72&gt;800,AU72&lt;=1000),AT72*'BU FACILITIES'!$G$11, IF(AND(AU72&gt;1000,AU72&lt;=1400),AT72*'BU FACILITIES'!$G$12, IF(AND(AU72&gt;1400,AU72&lt;=2000),AT72*'BU FACILITIES'!$G$13,""))))))</f>
        <v/>
      </c>
      <c r="AW72" s="187"/>
      <c r="AX72" s="187"/>
      <c r="AY72" s="122" t="str">
        <f>IF(AX72=30,AW72*'BU FACILITIES'!$G$14, IF(AX72=45, AW72*'BU FACILITIES'!$G$15, IF(AX72=450, AW72*'BU FACILITIES'!$G$16, "")))</f>
        <v/>
      </c>
      <c r="AZ72" s="187"/>
      <c r="BA72" s="187"/>
      <c r="BB72" s="187" t="str">
        <f>IF(AND(BA72&gt;=1,BA72&lt;=5),'BU FACILITIES'!$G$17, IF(AND(BA72&gt;5, BA72&lt;=10), 'BU FACILITIES'!$G$18, IF(AND(BA72&gt;10,BA72&lt;=20),'BU FACILITIES'!$G$19,"")))</f>
        <v/>
      </c>
      <c r="BC72" s="187"/>
      <c r="BD72" s="195" t="str">
        <f>IF(AND(AZ72="Modificar ductería de AA",BC72=1), 'BU FACILITIES'!$G$20, "")</f>
        <v/>
      </c>
    </row>
    <row r="73" spans="1:57" s="3" customFormat="1" ht="12.75" hidden="1" x14ac:dyDescent="0.2">
      <c r="A73" s="37" t="s">
        <v>90</v>
      </c>
      <c r="B73" s="38" t="s">
        <v>25</v>
      </c>
      <c r="C73" s="38" t="s">
        <v>26</v>
      </c>
      <c r="D73" s="38" t="s">
        <v>91</v>
      </c>
      <c r="E73" s="38" t="s">
        <v>92</v>
      </c>
      <c r="F73" s="38">
        <v>2023</v>
      </c>
      <c r="G73" s="23" t="s">
        <v>65</v>
      </c>
      <c r="H73" s="23" t="s">
        <v>65</v>
      </c>
      <c r="I73" s="80" t="s">
        <v>457</v>
      </c>
      <c r="J73" s="38" t="s">
        <v>32</v>
      </c>
      <c r="K73" s="23">
        <v>1</v>
      </c>
      <c r="L73" s="23">
        <v>6</v>
      </c>
      <c r="M73" s="23">
        <v>475</v>
      </c>
      <c r="N73" s="134">
        <v>2850</v>
      </c>
      <c r="O73" s="23" t="s">
        <v>31</v>
      </c>
      <c r="P73" s="23">
        <f t="shared" si="2"/>
        <v>4050</v>
      </c>
      <c r="Q73" s="217">
        <f t="shared" si="1"/>
        <v>0.70370370370370372</v>
      </c>
      <c r="R73" s="126" t="e">
        <f>VLOOKUP(G73,#REF!,11,0)*Q73</f>
        <v>#REF!</v>
      </c>
      <c r="S73" s="38" t="s">
        <v>33</v>
      </c>
      <c r="T73" s="38">
        <v>1620.75</v>
      </c>
      <c r="U73" s="38">
        <v>2</v>
      </c>
      <c r="V73" s="23" t="s">
        <v>31</v>
      </c>
      <c r="W73" s="23" t="s">
        <v>31</v>
      </c>
      <c r="X73" s="44" t="s">
        <v>93</v>
      </c>
      <c r="Y73" s="37">
        <v>1.5</v>
      </c>
      <c r="Z73" s="86" t="s">
        <v>94</v>
      </c>
      <c r="AA73" s="89" t="s">
        <v>31</v>
      </c>
      <c r="AB73" s="37" t="s">
        <v>95</v>
      </c>
      <c r="AC73" s="187"/>
      <c r="AD73" s="187">
        <v>4</v>
      </c>
      <c r="AE73" s="187" t="s">
        <v>402</v>
      </c>
      <c r="AF73" s="187"/>
      <c r="AG73" s="187"/>
      <c r="AH73" s="123" t="str">
        <f>IF(AG73=1,'BU FACILITIES'!$G$24,"")</f>
        <v/>
      </c>
      <c r="AI73" s="187"/>
      <c r="AJ73" s="196"/>
      <c r="AK73" s="120">
        <f>AJ73*'BU FACILITIES'!$G$21</f>
        <v>0</v>
      </c>
      <c r="AL73" s="196">
        <v>1</v>
      </c>
      <c r="AM73" s="121">
        <f>PRODUCT( AL73,'BU FACILITIES'!$G$22)</f>
        <v>870.73170731707319</v>
      </c>
      <c r="AN73" s="187"/>
      <c r="AO73" s="187"/>
      <c r="AP73" s="125" t="str">
        <f>IF(AO73=1,'BU FACILITIES'!$G$23,"")</f>
        <v/>
      </c>
      <c r="AQ73" s="187"/>
      <c r="AR73" s="187"/>
      <c r="AS73" s="122" t="str">
        <f>IF(AR73=300,AQ73*'BU FACILITIES'!$G$4, IF(AND(AR73&gt;300,AR73&lt;=500), AQ73*'BU FACILITIES'!$G$5, IF(AND(AR73&gt;500,AR73&lt;=1250), AQ73*'BU FACILITIES'!$G$6, IF(AND(AR73&gt;1250,AR73&lt;=2000),AQ73*'BU FACILITIES'!$G$7, ""))))</f>
        <v/>
      </c>
      <c r="AT73" s="187"/>
      <c r="AU73" s="187"/>
      <c r="AV73" s="122" t="str">
        <f>IF(AU73=100,AT73*'BU FACILITIES'!$G$8, IF(AND(AU73&gt;100,AU73&lt;=500), AT73*'BU FACILITIES'!$G$9, IF(AND(AU73&gt;500,AU73&lt;=800), AT73*'BU FACILITIES'!$G$10, IF(AND(AU73&gt;800,AU73&lt;=1000),AT73*'BU FACILITIES'!$G$11, IF(AND(AU73&gt;1000,AU73&lt;=1400),AT73*'BU FACILITIES'!$G$12, IF(AND(AU73&gt;1400,AU73&lt;=2000),AT73*'BU FACILITIES'!$G$13,""))))))</f>
        <v/>
      </c>
      <c r="AW73" s="187"/>
      <c r="AX73" s="187"/>
      <c r="AY73" s="122" t="str">
        <f>IF(AX73=30,AW73*'BU FACILITIES'!$G$14, IF(AX73=45, AW73*'BU FACILITIES'!$G$15, IF(AX73=450, AW73*'BU FACILITIES'!$G$16, "")))</f>
        <v/>
      </c>
      <c r="AZ73" s="187"/>
      <c r="BA73" s="187"/>
      <c r="BB73" s="187" t="str">
        <f>IF(AND(BA73&gt;=1,BA73&lt;=5),'BU FACILITIES'!$G$17, IF(AND(BA73&gt;5, BA73&lt;=10), 'BU FACILITIES'!$G$18, IF(AND(BA73&gt;10,BA73&lt;=20),'BU FACILITIES'!$G$19,"")))</f>
        <v/>
      </c>
      <c r="BC73" s="187"/>
      <c r="BD73" s="195" t="str">
        <f>IF(AND(AZ73="Modificar ductería de AA",BC73=1), 'BU FACILITIES'!$G$20, "")</f>
        <v/>
      </c>
    </row>
    <row r="74" spans="1:57" s="3" customFormat="1" ht="12.75" hidden="1" x14ac:dyDescent="0.2">
      <c r="A74" s="37" t="s">
        <v>90</v>
      </c>
      <c r="B74" s="38" t="s">
        <v>25</v>
      </c>
      <c r="C74" s="38" t="s">
        <v>26</v>
      </c>
      <c r="D74" s="38" t="s">
        <v>91</v>
      </c>
      <c r="E74" s="38" t="s">
        <v>92</v>
      </c>
      <c r="F74" s="38">
        <v>2023</v>
      </c>
      <c r="G74" s="23" t="s">
        <v>131</v>
      </c>
      <c r="H74" s="23" t="s">
        <v>131</v>
      </c>
      <c r="I74" s="23" t="s">
        <v>457</v>
      </c>
      <c r="J74" s="38" t="s">
        <v>32</v>
      </c>
      <c r="K74" s="23">
        <v>1</v>
      </c>
      <c r="L74" s="23">
        <v>6</v>
      </c>
      <c r="M74" s="23">
        <v>475</v>
      </c>
      <c r="N74" s="134">
        <v>2850</v>
      </c>
      <c r="O74" s="23" t="s">
        <v>31</v>
      </c>
      <c r="P74" s="23">
        <f t="shared" si="2"/>
        <v>4050</v>
      </c>
      <c r="Q74" s="217">
        <f t="shared" si="1"/>
        <v>0.70370370370370372</v>
      </c>
      <c r="R74" s="222" t="e">
        <f>VLOOKUP(G74,#REF!,11,0)*Q74</f>
        <v>#REF!</v>
      </c>
      <c r="S74" s="38" t="s">
        <v>33</v>
      </c>
      <c r="T74" s="38">
        <v>1620.75</v>
      </c>
      <c r="U74" s="38">
        <v>2</v>
      </c>
      <c r="V74" s="23" t="s">
        <v>31</v>
      </c>
      <c r="W74" s="23" t="s">
        <v>31</v>
      </c>
      <c r="X74" s="44" t="s">
        <v>93</v>
      </c>
      <c r="Y74" s="37">
        <v>1.5</v>
      </c>
      <c r="Z74" s="86" t="s">
        <v>94</v>
      </c>
      <c r="AA74" s="89" t="s">
        <v>31</v>
      </c>
      <c r="AB74" s="37" t="s">
        <v>95</v>
      </c>
      <c r="AC74" s="187" t="s">
        <v>523</v>
      </c>
      <c r="AD74" s="187"/>
      <c r="AE74" s="187" t="s">
        <v>460</v>
      </c>
      <c r="AF74" s="187"/>
      <c r="AG74" s="187"/>
      <c r="AH74" s="123" t="str">
        <f>IF(AG74=1,'BU FACILITIES'!$G$24,"")</f>
        <v/>
      </c>
      <c r="AI74" s="187" t="s">
        <v>454</v>
      </c>
      <c r="AJ74" s="196">
        <v>1</v>
      </c>
      <c r="AK74" s="120">
        <f>AJ74*'BU FACILITIES'!$G$21</f>
        <v>1714.6341463414635</v>
      </c>
      <c r="AL74" s="196">
        <v>1</v>
      </c>
      <c r="AM74" s="121">
        <f>PRODUCT( AL74,'BU FACILITIES'!$G$22)</f>
        <v>870.73170731707319</v>
      </c>
      <c r="AN74" s="187"/>
      <c r="AO74" s="187"/>
      <c r="AP74" s="125" t="str">
        <f>IF(AO74=1,'BU FACILITIES'!$G$23,"")</f>
        <v/>
      </c>
      <c r="AQ74" s="187"/>
      <c r="AR74" s="187"/>
      <c r="AS74" s="122" t="str">
        <f>IF(AR74=300,AQ74*'BU FACILITIES'!$G$4, IF(AND(AR74&gt;300,AR74&lt;=500), AQ74*'BU FACILITIES'!$G$5, IF(AND(AR74&gt;500,AR74&lt;=1250), AQ74*'BU FACILITIES'!$G$6, IF(AND(AR74&gt;1250,AR74&lt;=2000),AQ74*'BU FACILITIES'!$G$7, ""))))</f>
        <v/>
      </c>
      <c r="AT74" s="187"/>
      <c r="AU74" s="187"/>
      <c r="AV74" s="122" t="str">
        <f>IF(AU74=100,AT74*'BU FACILITIES'!$G$8, IF(AND(AU74&gt;100,AU74&lt;=500), AT74*'BU FACILITIES'!$G$9, IF(AND(AU74&gt;500,AU74&lt;=800), AT74*'BU FACILITIES'!$G$10, IF(AND(AU74&gt;800,AU74&lt;=1000),AT74*'BU FACILITIES'!$G$11, IF(AND(AU74&gt;1000,AU74&lt;=1400),AT74*'BU FACILITIES'!$G$12, IF(AND(AU74&gt;1400,AU74&lt;=2000),AT74*'BU FACILITIES'!$G$13,""))))))</f>
        <v/>
      </c>
      <c r="AW74" s="187"/>
      <c r="AX74" s="187"/>
      <c r="AY74" s="122" t="str">
        <f>IF(AX74=30,AW74*'BU FACILITIES'!$G$14, IF(AX74=45, AW74*'BU FACILITIES'!$G$15, IF(AX74=450, AW74*'BU FACILITIES'!$G$16, "")))</f>
        <v/>
      </c>
      <c r="AZ74" s="187"/>
      <c r="BA74" s="187"/>
      <c r="BB74" s="187" t="str">
        <f>IF(AND(BA74&gt;=1,BA74&lt;=5),'BU FACILITIES'!$G$17, IF(AND(BA74&gt;5, BA74&lt;=10), 'BU FACILITIES'!$G$18, IF(AND(BA74&gt;10,BA74&lt;=20),'BU FACILITIES'!$G$19,"")))</f>
        <v/>
      </c>
      <c r="BC74" s="187"/>
      <c r="BD74" s="195" t="str">
        <f>IF(AND(AZ74="Modificar ductería de AA",BC74=1), 'BU FACILITIES'!$G$20, "")</f>
        <v/>
      </c>
    </row>
    <row r="75" spans="1:57" s="3" customFormat="1" ht="12.75" hidden="1" x14ac:dyDescent="0.2">
      <c r="A75" s="37" t="s">
        <v>90</v>
      </c>
      <c r="B75" s="38" t="s">
        <v>25</v>
      </c>
      <c r="C75" s="38" t="s">
        <v>26</v>
      </c>
      <c r="D75" s="38" t="s">
        <v>91</v>
      </c>
      <c r="E75" s="38" t="s">
        <v>92</v>
      </c>
      <c r="F75" s="38">
        <v>2023</v>
      </c>
      <c r="G75" s="23" t="s">
        <v>132</v>
      </c>
      <c r="H75" s="23" t="s">
        <v>132</v>
      </c>
      <c r="I75" s="23" t="s">
        <v>457</v>
      </c>
      <c r="J75" s="38" t="s">
        <v>32</v>
      </c>
      <c r="K75" s="23">
        <v>1</v>
      </c>
      <c r="L75" s="23">
        <v>6</v>
      </c>
      <c r="M75" s="23">
        <v>475</v>
      </c>
      <c r="N75" s="134">
        <v>2850</v>
      </c>
      <c r="O75" s="23" t="s">
        <v>31</v>
      </c>
      <c r="P75" s="23">
        <f t="shared" si="2"/>
        <v>4650</v>
      </c>
      <c r="Q75" s="217">
        <f t="shared" si="1"/>
        <v>0.61290322580645162</v>
      </c>
      <c r="R75" s="126" t="e">
        <f>VLOOKUP(G75,#REF!,11,0)*Q75</f>
        <v>#REF!</v>
      </c>
      <c r="S75" s="38" t="s">
        <v>33</v>
      </c>
      <c r="T75" s="38">
        <v>1620.75</v>
      </c>
      <c r="U75" s="38">
        <v>2</v>
      </c>
      <c r="V75" s="23" t="s">
        <v>31</v>
      </c>
      <c r="W75" s="23" t="s">
        <v>31</v>
      </c>
      <c r="X75" s="44" t="s">
        <v>93</v>
      </c>
      <c r="Y75" s="37">
        <v>1.5</v>
      </c>
      <c r="Z75" s="86" t="s">
        <v>94</v>
      </c>
      <c r="AA75" s="89" t="s">
        <v>31</v>
      </c>
      <c r="AB75" s="37" t="s">
        <v>95</v>
      </c>
      <c r="AC75" s="187" t="s">
        <v>524</v>
      </c>
      <c r="AD75" s="187">
        <v>4</v>
      </c>
      <c r="AE75" s="187" t="s">
        <v>402</v>
      </c>
      <c r="AF75" s="187"/>
      <c r="AG75" s="187"/>
      <c r="AH75" s="123" t="str">
        <f>IF(AG75=1,'BU FACILITIES'!$G$24,"")</f>
        <v/>
      </c>
      <c r="AI75" s="187"/>
      <c r="AJ75" s="196"/>
      <c r="AK75" s="120">
        <f>AJ75*'BU FACILITIES'!$G$21</f>
        <v>0</v>
      </c>
      <c r="AL75" s="196">
        <v>1</v>
      </c>
      <c r="AM75" s="121">
        <f>PRODUCT( AL75,'BU FACILITIES'!$G$22)</f>
        <v>870.73170731707319</v>
      </c>
      <c r="AN75" s="187"/>
      <c r="AO75" s="187"/>
      <c r="AP75" s="125" t="str">
        <f>IF(AO75=1,'BU FACILITIES'!$G$23,"")</f>
        <v/>
      </c>
      <c r="AQ75" s="187"/>
      <c r="AR75" s="187"/>
      <c r="AS75" s="122" t="str">
        <f>IF(AR75=300,AQ75*'BU FACILITIES'!$G$4, IF(AND(AR75&gt;300,AR75&lt;=500), AQ75*'BU FACILITIES'!$G$5, IF(AND(AR75&gt;500,AR75&lt;=1250), AQ75*'BU FACILITIES'!$G$6, IF(AND(AR75&gt;1250,AR75&lt;=2000),AQ75*'BU FACILITIES'!$G$7, ""))))</f>
        <v/>
      </c>
      <c r="AT75" s="187"/>
      <c r="AU75" s="187"/>
      <c r="AV75" s="122" t="str">
        <f>IF(AU75=100,AT75*'BU FACILITIES'!$G$8, IF(AND(AU75&gt;100,AU75&lt;=500), AT75*'BU FACILITIES'!$G$9, IF(AND(AU75&gt;500,AU75&lt;=800), AT75*'BU FACILITIES'!$G$10, IF(AND(AU75&gt;800,AU75&lt;=1000),AT75*'BU FACILITIES'!$G$11, IF(AND(AU75&gt;1000,AU75&lt;=1400),AT75*'BU FACILITIES'!$G$12, IF(AND(AU75&gt;1400,AU75&lt;=2000),AT75*'BU FACILITIES'!$G$13,""))))))</f>
        <v/>
      </c>
      <c r="AW75" s="187"/>
      <c r="AX75" s="187"/>
      <c r="AY75" s="122" t="str">
        <f>IF(AX75=30,AW75*'BU FACILITIES'!$G$14, IF(AX75=45, AW75*'BU FACILITIES'!$G$15, IF(AX75=450, AW75*'BU FACILITIES'!$G$16, "")))</f>
        <v/>
      </c>
      <c r="AZ75" s="187"/>
      <c r="BA75" s="187"/>
      <c r="BB75" s="187" t="str">
        <f>IF(AND(BA75&gt;=1,BA75&lt;=5),'BU FACILITIES'!$G$17, IF(AND(BA75&gt;5, BA75&lt;=10), 'BU FACILITIES'!$G$18, IF(AND(BA75&gt;10,BA75&lt;=20),'BU FACILITIES'!$G$19,"")))</f>
        <v/>
      </c>
      <c r="BC75" s="187"/>
      <c r="BD75" s="195" t="str">
        <f>IF(AND(AZ75="Modificar ductería de AA",BC75=1), 'BU FACILITIES'!$G$20, "")</f>
        <v/>
      </c>
    </row>
    <row r="76" spans="1:57" s="3" customFormat="1" ht="12.75" hidden="1" x14ac:dyDescent="0.2">
      <c r="A76" s="37" t="s">
        <v>90</v>
      </c>
      <c r="B76" s="38" t="s">
        <v>25</v>
      </c>
      <c r="C76" s="38" t="s">
        <v>26</v>
      </c>
      <c r="D76" s="38" t="s">
        <v>91</v>
      </c>
      <c r="E76" s="38" t="s">
        <v>92</v>
      </c>
      <c r="F76" s="38">
        <v>2023</v>
      </c>
      <c r="G76" s="150" t="s">
        <v>133</v>
      </c>
      <c r="H76" s="23" t="s">
        <v>133</v>
      </c>
      <c r="I76" s="23" t="s">
        <v>457</v>
      </c>
      <c r="J76" s="38" t="s">
        <v>32</v>
      </c>
      <c r="K76" s="23">
        <v>1</v>
      </c>
      <c r="L76" s="23">
        <v>6</v>
      </c>
      <c r="M76" s="23">
        <v>475</v>
      </c>
      <c r="N76" s="132">
        <v>0</v>
      </c>
      <c r="O76" s="23" t="s">
        <v>31</v>
      </c>
      <c r="P76" s="23">
        <f t="shared" si="2"/>
        <v>0</v>
      </c>
      <c r="Q76" s="217" t="str">
        <f t="shared" si="1"/>
        <v>0</v>
      </c>
      <c r="R76" s="126" t="e">
        <f>VLOOKUP(G76,#REF!,11,0)*Q76</f>
        <v>#REF!</v>
      </c>
      <c r="S76" s="38" t="s">
        <v>33</v>
      </c>
      <c r="T76" s="38">
        <v>1620.75</v>
      </c>
      <c r="U76" s="38">
        <v>2</v>
      </c>
      <c r="V76" s="23" t="s">
        <v>31</v>
      </c>
      <c r="W76" s="23" t="s">
        <v>31</v>
      </c>
      <c r="X76" s="44" t="s">
        <v>93</v>
      </c>
      <c r="Y76" s="37">
        <v>1.5</v>
      </c>
      <c r="Z76" s="86" t="s">
        <v>94</v>
      </c>
      <c r="AA76" s="89" t="s">
        <v>31</v>
      </c>
      <c r="AB76" s="37" t="s">
        <v>95</v>
      </c>
      <c r="AC76" s="187" t="s">
        <v>525</v>
      </c>
      <c r="AD76" s="187">
        <v>3</v>
      </c>
      <c r="AE76" s="187" t="s">
        <v>460</v>
      </c>
      <c r="AF76" s="187" t="s">
        <v>526</v>
      </c>
      <c r="AG76" s="187">
        <v>1</v>
      </c>
      <c r="AH76" s="123">
        <f>IF(AG76=1,'BU FACILITIES'!$G$24,"")</f>
        <v>9756.0975609756097</v>
      </c>
      <c r="AI76" s="187" t="s">
        <v>454</v>
      </c>
      <c r="AJ76" s="196">
        <v>1</v>
      </c>
      <c r="AK76" s="120">
        <f>AJ76*'BU FACILITIES'!$G$21</f>
        <v>1714.6341463414635</v>
      </c>
      <c r="AL76" s="196">
        <v>1</v>
      </c>
      <c r="AM76" s="121">
        <f>PRODUCT( AL76,'BU FACILITIES'!$G$22)</f>
        <v>870.73170731707319</v>
      </c>
      <c r="AN76" s="187" t="s">
        <v>468</v>
      </c>
      <c r="AO76" s="187">
        <v>1</v>
      </c>
      <c r="AP76" s="125">
        <f>IF(AO76=1,'BU FACILITIES'!$G$23,"")</f>
        <v>24390.243902439026</v>
      </c>
      <c r="AQ76" s="187">
        <v>0.2</v>
      </c>
      <c r="AR76" s="187">
        <v>2000</v>
      </c>
      <c r="AS76" s="123">
        <f>IF(AR76=300,AQ76*'BU FACILITIES'!$G$4, IF(AND(AR76&gt;300,AR76&lt;=500), AQ76*'BU FACILITIES'!$G$5, IF(AND(AR76&gt;500,AR76&lt;=1250), AQ76*'BU FACILITIES'!$G$6, IF(AND(AR76&gt;1250,AR76&lt;=2000),AQ76*'BU FACILITIES'!$G$7, ""))))</f>
        <v>4772.4975609756102</v>
      </c>
      <c r="AT76" s="187">
        <v>2.5</v>
      </c>
      <c r="AU76" s="187">
        <v>2000</v>
      </c>
      <c r="AV76" s="122">
        <f>IF(AU76=100,AT76*'BU FACILITIES'!$G$8, IF(AND(AU76&gt;100,AU76&lt;=500), AT76*'BU FACILITIES'!$G$9, IF(AND(AU76&gt;500,AU76&lt;=800), AT76*'BU FACILITIES'!$G$10, IF(AND(AU76&gt;800,AU76&lt;=1000),AT76*'BU FACILITIES'!$G$11, IF(AND(AU76&gt;1000,AU76&lt;=1400),AT76*'BU FACILITIES'!$G$12, IF(AND(AU76&gt;1400,AU76&lt;=2000),AT76*'BU FACILITIES'!$G$13,""))))))</f>
        <v>53630.015853658544</v>
      </c>
      <c r="AW76" s="187"/>
      <c r="AX76" s="187"/>
      <c r="AY76" s="122" t="str">
        <f>IF(AX76=30,AW76*'BU FACILITIES'!$G$14, IF(AX76=45, AW76*'BU FACILITIES'!$G$15, IF(AX76=450, AW76*'BU FACILITIES'!$G$16, "")))</f>
        <v/>
      </c>
      <c r="AZ76" s="187" t="s">
        <v>469</v>
      </c>
      <c r="BA76" s="187"/>
      <c r="BB76" s="187" t="str">
        <f>IF(AND(BA76&gt;=1,BA76&lt;=5),'BU FACILITIES'!$G$17, IF(AND(BA76&gt;5, BA76&lt;=10), 'BU FACILITIES'!$G$18, IF(AND(BA76&gt;10,BA76&lt;=20),'BU FACILITIES'!$G$19,"")))</f>
        <v/>
      </c>
      <c r="BC76" s="187">
        <v>1</v>
      </c>
      <c r="BD76" s="195">
        <f>IF(AND(AZ76="Modificar ductería de AA",BC76=1), 'BU FACILITIES'!$G$20, "")</f>
        <v>9756.0975609756097</v>
      </c>
    </row>
    <row r="77" spans="1:57" s="3" customFormat="1" ht="12.75" hidden="1" x14ac:dyDescent="0.2">
      <c r="A77" s="37" t="s">
        <v>90</v>
      </c>
      <c r="B77" s="38" t="s">
        <v>25</v>
      </c>
      <c r="C77" s="38" t="s">
        <v>26</v>
      </c>
      <c r="D77" s="38" t="s">
        <v>91</v>
      </c>
      <c r="E77" s="38" t="s">
        <v>92</v>
      </c>
      <c r="F77" s="38">
        <v>2023</v>
      </c>
      <c r="G77" s="23" t="s">
        <v>134</v>
      </c>
      <c r="H77" s="23" t="s">
        <v>135</v>
      </c>
      <c r="I77" s="23" t="s">
        <v>31</v>
      </c>
      <c r="J77" s="38" t="s">
        <v>32</v>
      </c>
      <c r="K77" s="23">
        <v>3</v>
      </c>
      <c r="L77" s="23">
        <v>8</v>
      </c>
      <c r="M77" s="23">
        <v>475</v>
      </c>
      <c r="N77" s="134">
        <v>3800</v>
      </c>
      <c r="O77" s="23" t="s">
        <v>31</v>
      </c>
      <c r="P77" s="23">
        <f t="shared" si="2"/>
        <v>3800</v>
      </c>
      <c r="Q77" s="217">
        <f t="shared" si="1"/>
        <v>1</v>
      </c>
      <c r="R77" s="126" t="e">
        <f>VLOOKUP(G77,#REF!,11,0)*Q77</f>
        <v>#REF!</v>
      </c>
      <c r="S77" s="38" t="s">
        <v>33</v>
      </c>
      <c r="T77" s="38">
        <v>1620.75</v>
      </c>
      <c r="U77" s="38">
        <v>6</v>
      </c>
      <c r="V77" s="23" t="s">
        <v>31</v>
      </c>
      <c r="W77" s="23" t="s">
        <v>31</v>
      </c>
      <c r="X77" s="44" t="s">
        <v>93</v>
      </c>
      <c r="Y77" s="37">
        <v>4.5</v>
      </c>
      <c r="Z77" s="86" t="s">
        <v>94</v>
      </c>
      <c r="AA77" s="89" t="s">
        <v>31</v>
      </c>
      <c r="AB77" s="37" t="s">
        <v>95</v>
      </c>
      <c r="AC77" s="187" t="s">
        <v>527</v>
      </c>
      <c r="AD77" s="187">
        <v>4</v>
      </c>
      <c r="AE77" s="187" t="s">
        <v>402</v>
      </c>
      <c r="AF77" s="187"/>
      <c r="AG77" s="187"/>
      <c r="AH77" s="123" t="str">
        <f>IF(AG77=1,'BU FACILITIES'!$G$24,"")</f>
        <v/>
      </c>
      <c r="AI77" s="187" t="s">
        <v>402</v>
      </c>
      <c r="AJ77" s="196">
        <v>1</v>
      </c>
      <c r="AK77" s="120">
        <f>AJ77*'BU FACILITIES'!$G$21</f>
        <v>1714.6341463414635</v>
      </c>
      <c r="AL77" s="196">
        <v>1</v>
      </c>
      <c r="AM77" s="121">
        <f>PRODUCT( AL77,'BU FACILITIES'!$G$22)</f>
        <v>870.73170731707319</v>
      </c>
      <c r="AN77" s="187"/>
      <c r="AO77" s="187"/>
      <c r="AP77" s="125" t="str">
        <f>IF(AO77=1,'BU FACILITIES'!$G$23,"")</f>
        <v/>
      </c>
      <c r="AQ77" s="187"/>
      <c r="AR77" s="187"/>
      <c r="AS77" s="122" t="str">
        <f>IF(AR77=300,AQ77*'BU FACILITIES'!$G$4, IF(AND(AR77&gt;300,AR77&lt;=500), AQ77*'BU FACILITIES'!$G$5, IF(AND(AR77&gt;500,AR77&lt;=1250), AQ77*'BU FACILITIES'!$G$6, IF(AND(AR77&gt;1250,AR77&lt;=2000),AQ77*'BU FACILITIES'!$G$7, ""))))</f>
        <v/>
      </c>
      <c r="AT77" s="187"/>
      <c r="AU77" s="187"/>
      <c r="AV77" s="122" t="str">
        <f>IF(AU77=100,AT77*'BU FACILITIES'!$G$8, IF(AND(AU77&gt;100,AU77&lt;=500), AT77*'BU FACILITIES'!$G$9, IF(AND(AU77&gt;500,AU77&lt;=800), AT77*'BU FACILITIES'!$G$10, IF(AND(AU77&gt;800,AU77&lt;=1000),AT77*'BU FACILITIES'!$G$11, IF(AND(AU77&gt;1000,AU77&lt;=1400),AT77*'BU FACILITIES'!$G$12, IF(AND(AU77&gt;1400,AU77&lt;=2000),AT77*'BU FACILITIES'!$G$13,""))))))</f>
        <v/>
      </c>
      <c r="AW77" s="187"/>
      <c r="AX77" s="187"/>
      <c r="AY77" s="122" t="str">
        <f>IF(AX77=30,AW77*'BU FACILITIES'!$G$14, IF(AX77=45, AW77*'BU FACILITIES'!$G$15, IF(AX77=450, AW77*'BU FACILITIES'!$G$16, "")))</f>
        <v/>
      </c>
      <c r="AZ77" s="187"/>
      <c r="BA77" s="187"/>
      <c r="BB77" s="187" t="str">
        <f>IF(AND(BA77&gt;=1,BA77&lt;=5),'BU FACILITIES'!$G$17, IF(AND(BA77&gt;5, BA77&lt;=10), 'BU FACILITIES'!$G$18, IF(AND(BA77&gt;10,BA77&lt;=20),'BU FACILITIES'!$G$19,"")))</f>
        <v/>
      </c>
      <c r="BC77" s="187"/>
      <c r="BD77" s="195" t="str">
        <f>IF(AND(AZ77="Modificar ductería de AA",BC77=1), 'BU FACILITIES'!$G$20, "")</f>
        <v/>
      </c>
    </row>
    <row r="78" spans="1:57" s="3" customFormat="1" ht="12.75" hidden="1" x14ac:dyDescent="0.2">
      <c r="A78" s="37" t="s">
        <v>90</v>
      </c>
      <c r="B78" s="38" t="s">
        <v>25</v>
      </c>
      <c r="C78" s="38" t="s">
        <v>26</v>
      </c>
      <c r="D78" s="38" t="s">
        <v>91</v>
      </c>
      <c r="E78" s="38" t="s">
        <v>92</v>
      </c>
      <c r="F78" s="38">
        <v>2023</v>
      </c>
      <c r="G78" s="23" t="s">
        <v>528</v>
      </c>
      <c r="H78" s="23" t="s">
        <v>135</v>
      </c>
      <c r="I78" s="23" t="s">
        <v>31</v>
      </c>
      <c r="J78" s="38" t="s">
        <v>32</v>
      </c>
      <c r="K78" s="23">
        <v>2</v>
      </c>
      <c r="L78" s="23">
        <v>6</v>
      </c>
      <c r="M78" s="23">
        <v>475</v>
      </c>
      <c r="N78" s="134">
        <v>2850</v>
      </c>
      <c r="O78" s="23" t="s">
        <v>31</v>
      </c>
      <c r="P78" s="23">
        <f t="shared" si="2"/>
        <v>2850</v>
      </c>
      <c r="Q78" s="217">
        <f t="shared" ref="Q78:Q109" si="3">IF(N78&lt;&gt;0,N78/P78,"0")</f>
        <v>1</v>
      </c>
      <c r="R78" s="126" t="e">
        <f>VLOOKUP(G78,#REF!,11,0)*Q78</f>
        <v>#REF!</v>
      </c>
      <c r="S78" s="38" t="s">
        <v>33</v>
      </c>
      <c r="T78" s="38">
        <v>1620.75</v>
      </c>
      <c r="U78" s="38">
        <v>4</v>
      </c>
      <c r="V78" s="23" t="s">
        <v>31</v>
      </c>
      <c r="W78" s="23" t="s">
        <v>31</v>
      </c>
      <c r="X78" s="44" t="s">
        <v>93</v>
      </c>
      <c r="Y78" s="37">
        <v>3</v>
      </c>
      <c r="Z78" s="86" t="s">
        <v>94</v>
      </c>
      <c r="AA78" s="89" t="s">
        <v>31</v>
      </c>
      <c r="AB78" s="37" t="s">
        <v>95</v>
      </c>
      <c r="AC78" s="187" t="s">
        <v>527</v>
      </c>
      <c r="AD78" s="187">
        <v>3</v>
      </c>
      <c r="AE78" s="187" t="s">
        <v>402</v>
      </c>
      <c r="AF78" s="187"/>
      <c r="AG78" s="187"/>
      <c r="AH78" s="123" t="str">
        <f>IF(AG78=1,'BU FACILITIES'!$G$24,"")</f>
        <v/>
      </c>
      <c r="AI78" s="187" t="s">
        <v>402</v>
      </c>
      <c r="AJ78" s="196">
        <v>1</v>
      </c>
      <c r="AK78" s="120">
        <f>AJ78*'BU FACILITIES'!$G$21</f>
        <v>1714.6341463414635</v>
      </c>
      <c r="AL78" s="196">
        <v>1</v>
      </c>
      <c r="AM78" s="121">
        <f>PRODUCT( AL78,'BU FACILITIES'!$G$22)</f>
        <v>870.73170731707319</v>
      </c>
      <c r="AN78" s="187"/>
      <c r="AO78" s="187"/>
      <c r="AP78" s="125" t="str">
        <f>IF(AO78=1,'BU FACILITIES'!$G$23,"")</f>
        <v/>
      </c>
      <c r="AQ78" s="187"/>
      <c r="AR78" s="187"/>
      <c r="AS78" s="122" t="str">
        <f>IF(AR78=300,AQ78*'BU FACILITIES'!$G$4, IF(AND(AR78&gt;300,AR78&lt;=500), AQ78*'BU FACILITIES'!$G$5, IF(AND(AR78&gt;500,AR78&lt;=1250), AQ78*'BU FACILITIES'!$G$6, IF(AND(AR78&gt;1250,AR78&lt;=2000),AQ78*'BU FACILITIES'!$G$7, ""))))</f>
        <v/>
      </c>
      <c r="AT78" s="187"/>
      <c r="AU78" s="187"/>
      <c r="AV78" s="122" t="str">
        <f>IF(AU78=100,AT78*'BU FACILITIES'!$G$8, IF(AND(AU78&gt;100,AU78&lt;=500), AT78*'BU FACILITIES'!$G$9, IF(AND(AU78&gt;500,AU78&lt;=800), AT78*'BU FACILITIES'!$G$10, IF(AND(AU78&gt;800,AU78&lt;=1000),AT78*'BU FACILITIES'!$G$11, IF(AND(AU78&gt;1000,AU78&lt;=1400),AT78*'BU FACILITIES'!$G$12, IF(AND(AU78&gt;1400,AU78&lt;=2000),AT78*'BU FACILITIES'!$G$13,""))))))</f>
        <v/>
      </c>
      <c r="AW78" s="187"/>
      <c r="AX78" s="187"/>
      <c r="AY78" s="122" t="str">
        <f>IF(AX78=30,AW78*'BU FACILITIES'!$G$14, IF(AX78=45, AW78*'BU FACILITIES'!$G$15, IF(AX78=450, AW78*'BU FACILITIES'!$G$16, "")))</f>
        <v/>
      </c>
      <c r="AZ78" s="187"/>
      <c r="BA78" s="187"/>
      <c r="BB78" s="187" t="str">
        <f>IF(AND(BA78&gt;=1,BA78&lt;=5),'BU FACILITIES'!$G$17, IF(AND(BA78&gt;5, BA78&lt;=10), 'BU FACILITIES'!$G$18, IF(AND(BA78&gt;10,BA78&lt;=20),'BU FACILITIES'!$G$19,"")))</f>
        <v/>
      </c>
      <c r="BC78" s="187"/>
      <c r="BD78" s="195" t="str">
        <f>IF(AND(AZ78="Modificar ductería de AA",BC78=1), 'BU FACILITIES'!$G$20, "")</f>
        <v/>
      </c>
      <c r="BE78" s="199" t="s">
        <v>514</v>
      </c>
    </row>
    <row r="79" spans="1:57" s="3" customFormat="1" ht="12.75" hidden="1" x14ac:dyDescent="0.2">
      <c r="A79" s="37" t="s">
        <v>90</v>
      </c>
      <c r="B79" s="38" t="s">
        <v>25</v>
      </c>
      <c r="C79" s="38" t="s">
        <v>26</v>
      </c>
      <c r="D79" s="38" t="s">
        <v>91</v>
      </c>
      <c r="E79" s="38" t="s">
        <v>92</v>
      </c>
      <c r="F79" s="38">
        <v>2023</v>
      </c>
      <c r="G79" s="23" t="s">
        <v>139</v>
      </c>
      <c r="H79" s="23" t="s">
        <v>135</v>
      </c>
      <c r="I79" s="23" t="s">
        <v>31</v>
      </c>
      <c r="J79" s="38" t="s">
        <v>32</v>
      </c>
      <c r="K79" s="23">
        <v>1</v>
      </c>
      <c r="L79" s="23">
        <v>2</v>
      </c>
      <c r="M79" s="23">
        <v>475</v>
      </c>
      <c r="N79" s="135">
        <v>950</v>
      </c>
      <c r="O79" s="23" t="s">
        <v>31</v>
      </c>
      <c r="P79" s="23">
        <f t="shared" si="2"/>
        <v>950</v>
      </c>
      <c r="Q79" s="217">
        <f t="shared" si="3"/>
        <v>1</v>
      </c>
      <c r="R79" s="126" t="e">
        <f>VLOOKUP(G79,#REF!,11,0)*Q79</f>
        <v>#REF!</v>
      </c>
      <c r="S79" s="38" t="s">
        <v>33</v>
      </c>
      <c r="T79" s="38">
        <v>1620.75</v>
      </c>
      <c r="U79" s="38">
        <v>2</v>
      </c>
      <c r="V79" s="23" t="s">
        <v>31</v>
      </c>
      <c r="W79" s="23" t="s">
        <v>31</v>
      </c>
      <c r="X79" s="44" t="s">
        <v>93</v>
      </c>
      <c r="Y79" s="37">
        <v>1.5</v>
      </c>
      <c r="Z79" s="86" t="s">
        <v>94</v>
      </c>
      <c r="AA79" s="89" t="s">
        <v>31</v>
      </c>
      <c r="AB79" s="37" t="s">
        <v>95</v>
      </c>
      <c r="AC79" s="187" t="s">
        <v>527</v>
      </c>
      <c r="AD79" s="187">
        <v>5</v>
      </c>
      <c r="AE79" s="187" t="s">
        <v>402</v>
      </c>
      <c r="AF79" s="187"/>
      <c r="AG79" s="187"/>
      <c r="AH79" s="123" t="str">
        <f>IF(AG79=1,'BU FACILITIES'!$G$24,"")</f>
        <v/>
      </c>
      <c r="AI79" s="187" t="s">
        <v>402</v>
      </c>
      <c r="AJ79" s="196">
        <v>1</v>
      </c>
      <c r="AK79" s="120">
        <f>AJ79*'BU FACILITIES'!$G$21</f>
        <v>1714.6341463414635</v>
      </c>
      <c r="AL79" s="196">
        <v>1</v>
      </c>
      <c r="AM79" s="121">
        <f>PRODUCT( AL79,'BU FACILITIES'!$G$22)</f>
        <v>870.73170731707319</v>
      </c>
      <c r="AN79" s="187"/>
      <c r="AO79" s="187"/>
      <c r="AP79" s="125" t="str">
        <f>IF(AO79=1,'BU FACILITIES'!$G$23,"")</f>
        <v/>
      </c>
      <c r="AQ79" s="187"/>
      <c r="AR79" s="187"/>
      <c r="AS79" s="122" t="str">
        <f>IF(AR79=300,AQ79*'BU FACILITIES'!$G$4, IF(AND(AR79&gt;300,AR79&lt;=500), AQ79*'BU FACILITIES'!$G$5, IF(AND(AR79&gt;500,AR79&lt;=1250), AQ79*'BU FACILITIES'!$G$6, IF(AND(AR79&gt;1250,AR79&lt;=2000),AQ79*'BU FACILITIES'!$G$7, ""))))</f>
        <v/>
      </c>
      <c r="AT79" s="187"/>
      <c r="AU79" s="187"/>
      <c r="AV79" s="122" t="str">
        <f>IF(AU79=100,AT79*'BU FACILITIES'!$G$8, IF(AND(AU79&gt;100,AU79&lt;=500), AT79*'BU FACILITIES'!$G$9, IF(AND(AU79&gt;500,AU79&lt;=800), AT79*'BU FACILITIES'!$G$10, IF(AND(AU79&gt;800,AU79&lt;=1000),AT79*'BU FACILITIES'!$G$11, IF(AND(AU79&gt;1000,AU79&lt;=1400),AT79*'BU FACILITIES'!$G$12, IF(AND(AU79&gt;1400,AU79&lt;=2000),AT79*'BU FACILITIES'!$G$13,""))))))</f>
        <v/>
      </c>
      <c r="AW79" s="187"/>
      <c r="AX79" s="187"/>
      <c r="AY79" s="122" t="str">
        <f>IF(AX79=30,AW79*'BU FACILITIES'!$G$14, IF(AX79=45, AW79*'BU FACILITIES'!$G$15, IF(AX79=450, AW79*'BU FACILITIES'!$G$16, "")))</f>
        <v/>
      </c>
      <c r="AZ79" s="187"/>
      <c r="BA79" s="187"/>
      <c r="BB79" s="187" t="str">
        <f>IF(AND(BA79&gt;=1,BA79&lt;=5),'BU FACILITIES'!$G$17, IF(AND(BA79&gt;5, BA79&lt;=10), 'BU FACILITIES'!$G$18, IF(AND(BA79&gt;10,BA79&lt;=20),'BU FACILITIES'!$G$19,"")))</f>
        <v/>
      </c>
      <c r="BC79" s="187"/>
      <c r="BD79" s="195" t="str">
        <f>IF(AND(AZ79="Modificar ductería de AA",BC79=1), 'BU FACILITIES'!$G$20, "")</f>
        <v/>
      </c>
      <c r="BE79" s="199" t="s">
        <v>514</v>
      </c>
    </row>
    <row r="80" spans="1:57" s="3" customFormat="1" ht="12.75" hidden="1" x14ac:dyDescent="0.2">
      <c r="A80" s="200" t="s">
        <v>90</v>
      </c>
      <c r="B80" s="201" t="s">
        <v>25</v>
      </c>
      <c r="C80" s="201" t="s">
        <v>26</v>
      </c>
      <c r="D80" s="201" t="s">
        <v>91</v>
      </c>
      <c r="E80" s="201" t="s">
        <v>92</v>
      </c>
      <c r="F80" s="201">
        <v>2023</v>
      </c>
      <c r="G80" s="202" t="s">
        <v>141</v>
      </c>
      <c r="H80" s="202" t="s">
        <v>59</v>
      </c>
      <c r="I80" s="202" t="s">
        <v>31</v>
      </c>
      <c r="J80" s="201" t="s">
        <v>32</v>
      </c>
      <c r="K80" s="202">
        <v>1</v>
      </c>
      <c r="L80" s="202">
        <v>2</v>
      </c>
      <c r="M80" s="202">
        <v>475</v>
      </c>
      <c r="N80" s="203">
        <v>950</v>
      </c>
      <c r="O80" s="202" t="s">
        <v>31</v>
      </c>
      <c r="P80" s="23">
        <f t="shared" si="2"/>
        <v>950</v>
      </c>
      <c r="Q80" s="217">
        <f t="shared" si="3"/>
        <v>1</v>
      </c>
      <c r="R80" s="126" t="e">
        <f>VLOOKUP(G80,#REF!,11,0)*Q80</f>
        <v>#REF!</v>
      </c>
      <c r="S80" s="201" t="s">
        <v>33</v>
      </c>
      <c r="T80" s="201">
        <v>1620.75</v>
      </c>
      <c r="U80" s="201">
        <v>2</v>
      </c>
      <c r="V80" s="202" t="s">
        <v>31</v>
      </c>
      <c r="W80" s="202" t="s">
        <v>31</v>
      </c>
      <c r="X80" s="201" t="s">
        <v>93</v>
      </c>
      <c r="Y80" s="201">
        <v>1.5</v>
      </c>
      <c r="Z80" s="201" t="s">
        <v>94</v>
      </c>
      <c r="AA80" s="201" t="s">
        <v>31</v>
      </c>
      <c r="AB80" s="201" t="s">
        <v>95</v>
      </c>
      <c r="AC80" s="187" t="s">
        <v>527</v>
      </c>
      <c r="AD80" s="187">
        <v>3</v>
      </c>
      <c r="AE80" s="187" t="s">
        <v>402</v>
      </c>
      <c r="AF80" s="187"/>
      <c r="AG80" s="187"/>
      <c r="AH80" s="123" t="str">
        <f>IF(AG80=1,'BU FACILITIES'!$G$24,"")</f>
        <v/>
      </c>
      <c r="AI80" s="187" t="s">
        <v>402</v>
      </c>
      <c r="AJ80" s="196">
        <v>1</v>
      </c>
      <c r="AK80" s="120">
        <f>AJ80*'BU FACILITIES'!$G$21</f>
        <v>1714.6341463414635</v>
      </c>
      <c r="AL80" s="196">
        <v>1</v>
      </c>
      <c r="AM80" s="121">
        <f>PRODUCT( AL80,'BU FACILITIES'!$G$22)</f>
        <v>870.73170731707319</v>
      </c>
      <c r="AN80" s="187"/>
      <c r="AO80" s="187"/>
      <c r="AP80" s="125" t="str">
        <f>IF(AO80=1,'BU FACILITIES'!$G$23,"")</f>
        <v/>
      </c>
      <c r="AQ80" s="187"/>
      <c r="AR80" s="187"/>
      <c r="AS80" s="122" t="str">
        <f>IF(AR80=300,AQ80*'BU FACILITIES'!$G$4, IF(AND(AR80&gt;300,AR80&lt;=500), AQ80*'BU FACILITIES'!$G$5, IF(AND(AR80&gt;500,AR80&lt;=1250), AQ80*'BU FACILITIES'!$G$6, IF(AND(AR80&gt;1250,AR80&lt;=2000),AQ80*'BU FACILITIES'!$G$7, ""))))</f>
        <v/>
      </c>
      <c r="AT80" s="187"/>
      <c r="AU80" s="187"/>
      <c r="AV80" s="122" t="str">
        <f>IF(AU80=100,AT80*'BU FACILITIES'!$G$8, IF(AND(AU80&gt;100,AU80&lt;=500), AT80*'BU FACILITIES'!$G$9, IF(AND(AU80&gt;500,AU80&lt;=800), AT80*'BU FACILITIES'!$G$10, IF(AND(AU80&gt;800,AU80&lt;=1000),AT80*'BU FACILITIES'!$G$11, IF(AND(AU80&gt;1000,AU80&lt;=1400),AT80*'BU FACILITIES'!$G$12, IF(AND(AU80&gt;1400,AU80&lt;=2000),AT80*'BU FACILITIES'!$G$13,""))))))</f>
        <v/>
      </c>
      <c r="AW80" s="187"/>
      <c r="AX80" s="187"/>
      <c r="AY80" s="122" t="str">
        <f>IF(AX80=30,AW80*'BU FACILITIES'!$G$14, IF(AX80=45, AW80*'BU FACILITIES'!$G$15, IF(AX80=450, AW80*'BU FACILITIES'!$G$16, "")))</f>
        <v/>
      </c>
      <c r="AZ80" s="187"/>
      <c r="BA80" s="187"/>
      <c r="BB80" s="187" t="str">
        <f>IF(AND(BA80&gt;=1,BA80&lt;=5),'BU FACILITIES'!$G$17, IF(AND(BA80&gt;5, BA80&lt;=10), 'BU FACILITIES'!$G$18, IF(AND(BA80&gt;10,BA80&lt;=20),'BU FACILITIES'!$G$19,"")))</f>
        <v/>
      </c>
      <c r="BC80" s="187"/>
      <c r="BD80" s="195" t="str">
        <f>IF(AND(AZ80="Modificar ductería de AA",BC80=1), 'BU FACILITIES'!$G$20, "")</f>
        <v/>
      </c>
    </row>
    <row r="81" spans="1:56" s="3" customFormat="1" ht="12.75" hidden="1" x14ac:dyDescent="0.2">
      <c r="A81" s="37" t="s">
        <v>90</v>
      </c>
      <c r="B81" s="38" t="s">
        <v>25</v>
      </c>
      <c r="C81" s="38" t="s">
        <v>26</v>
      </c>
      <c r="D81" s="38" t="s">
        <v>91</v>
      </c>
      <c r="E81" s="38" t="s">
        <v>92</v>
      </c>
      <c r="F81" s="38">
        <v>2023</v>
      </c>
      <c r="G81" s="23" t="s">
        <v>529</v>
      </c>
      <c r="H81" s="23" t="s">
        <v>143</v>
      </c>
      <c r="I81" s="23" t="s">
        <v>31</v>
      </c>
      <c r="J81" s="38" t="s">
        <v>32</v>
      </c>
      <c r="K81" s="23">
        <v>1</v>
      </c>
      <c r="L81" s="23">
        <v>6</v>
      </c>
      <c r="M81" s="23">
        <v>475</v>
      </c>
      <c r="N81" s="134">
        <v>2850</v>
      </c>
      <c r="O81" s="23" t="s">
        <v>31</v>
      </c>
      <c r="P81" s="23">
        <f t="shared" si="2"/>
        <v>2850</v>
      </c>
      <c r="Q81" s="217">
        <f t="shared" si="3"/>
        <v>1</v>
      </c>
      <c r="R81" s="126" t="e">
        <f>VLOOKUP(G81,#REF!,11,0)*Q81</f>
        <v>#REF!</v>
      </c>
      <c r="S81" s="38" t="s">
        <v>33</v>
      </c>
      <c r="T81" s="38">
        <v>1620.75</v>
      </c>
      <c r="U81" s="38">
        <v>2</v>
      </c>
      <c r="V81" s="23" t="s">
        <v>31</v>
      </c>
      <c r="W81" s="23" t="s">
        <v>31</v>
      </c>
      <c r="X81" s="38" t="s">
        <v>93</v>
      </c>
      <c r="Y81" s="38">
        <v>1.5</v>
      </c>
      <c r="Z81" s="38" t="s">
        <v>94</v>
      </c>
      <c r="AA81" s="38" t="s">
        <v>31</v>
      </c>
      <c r="AB81" s="38" t="s">
        <v>95</v>
      </c>
      <c r="AC81" s="187" t="s">
        <v>502</v>
      </c>
      <c r="AD81" s="187"/>
      <c r="AE81" s="187" t="s">
        <v>402</v>
      </c>
      <c r="AF81" s="187"/>
      <c r="AG81" s="187"/>
      <c r="AH81" s="123" t="str">
        <f>IF(AG81=1,'BU FACILITIES'!$G$24,"")</f>
        <v/>
      </c>
      <c r="AI81" s="187" t="s">
        <v>530</v>
      </c>
      <c r="AJ81" s="196">
        <v>0</v>
      </c>
      <c r="AK81" s="120">
        <f>AJ81*'BU FACILITIES'!$G$21</f>
        <v>0</v>
      </c>
      <c r="AL81" s="196">
        <v>0</v>
      </c>
      <c r="AM81" s="121">
        <f>PRODUCT( AL81,'BU FACILITIES'!$G$22)</f>
        <v>0</v>
      </c>
      <c r="AN81" s="187"/>
      <c r="AO81" s="187"/>
      <c r="AP81" s="125" t="str">
        <f>IF(AO81=1,'BU FACILITIES'!$G$23,"")</f>
        <v/>
      </c>
      <c r="AQ81" s="187"/>
      <c r="AR81" s="187"/>
      <c r="AS81" s="122" t="str">
        <f>IF(AR81=300,AQ81*'BU FACILITIES'!$G$4, IF(AND(AR81&gt;300,AR81&lt;=500), AQ81*'BU FACILITIES'!$G$5, IF(AND(AR81&gt;500,AR81&lt;=1250), AQ81*'BU FACILITIES'!$G$6, IF(AND(AR81&gt;1250,AR81&lt;=2000),AQ81*'BU FACILITIES'!$G$7, ""))))</f>
        <v/>
      </c>
      <c r="AT81" s="187"/>
      <c r="AU81" s="187"/>
      <c r="AV81" s="122" t="str">
        <f>IF(AU81=100,AT81*'BU FACILITIES'!$G$8, IF(AND(AU81&gt;100,AU81&lt;=500), AT81*'BU FACILITIES'!$G$9, IF(AND(AU81&gt;500,AU81&lt;=800), AT81*'BU FACILITIES'!$G$10, IF(AND(AU81&gt;800,AU81&lt;=1000),AT81*'BU FACILITIES'!$G$11, IF(AND(AU81&gt;1000,AU81&lt;=1400),AT81*'BU FACILITIES'!$G$12, IF(AND(AU81&gt;1400,AU81&lt;=2000),AT81*'BU FACILITIES'!$G$13,""))))))</f>
        <v/>
      </c>
      <c r="AW81" s="187"/>
      <c r="AX81" s="187"/>
      <c r="AY81" s="122" t="str">
        <f>IF(AX81=30,AW81*'BU FACILITIES'!$G$14, IF(AX81=45, AW81*'BU FACILITIES'!$G$15, IF(AX81=450, AW81*'BU FACILITIES'!$G$16, "")))</f>
        <v/>
      </c>
      <c r="AZ81" s="187"/>
      <c r="BA81" s="187"/>
      <c r="BB81" s="187" t="str">
        <f>IF(AND(BA81&gt;=1,BA81&lt;=5),'BU FACILITIES'!$G$17, IF(AND(BA81&gt;5, BA81&lt;=10), 'BU FACILITIES'!$G$18, IF(AND(BA81&gt;10,BA81&lt;=20),'BU FACILITIES'!$G$19,"")))</f>
        <v/>
      </c>
      <c r="BC81" s="187"/>
      <c r="BD81" s="195" t="str">
        <f>IF(AND(AZ81="Modificar ductería de AA",BC81=1), 'BU FACILITIES'!$G$20, "")</f>
        <v/>
      </c>
    </row>
    <row r="82" spans="1:56" s="3" customFormat="1" ht="12.75" hidden="1" x14ac:dyDescent="0.2">
      <c r="A82" s="37" t="s">
        <v>90</v>
      </c>
      <c r="B82" s="38" t="s">
        <v>25</v>
      </c>
      <c r="C82" s="38" t="s">
        <v>26</v>
      </c>
      <c r="D82" s="38" t="s">
        <v>91</v>
      </c>
      <c r="E82" s="38" t="s">
        <v>92</v>
      </c>
      <c r="F82" s="38">
        <v>2023</v>
      </c>
      <c r="G82" s="23" t="s">
        <v>531</v>
      </c>
      <c r="H82" s="23" t="s">
        <v>144</v>
      </c>
      <c r="I82" s="23" t="s">
        <v>31</v>
      </c>
      <c r="J82" s="38" t="s">
        <v>32</v>
      </c>
      <c r="K82" s="23">
        <v>1</v>
      </c>
      <c r="L82" s="23">
        <v>6</v>
      </c>
      <c r="M82" s="23">
        <v>475</v>
      </c>
      <c r="N82" s="134">
        <v>2850</v>
      </c>
      <c r="O82" s="23" t="s">
        <v>31</v>
      </c>
      <c r="P82" s="23">
        <f t="shared" si="2"/>
        <v>2850</v>
      </c>
      <c r="Q82" s="217">
        <f t="shared" si="3"/>
        <v>1</v>
      </c>
      <c r="R82" s="126" t="e">
        <f>VLOOKUP(G82,#REF!,11,0)*Q82</f>
        <v>#REF!</v>
      </c>
      <c r="S82" s="38" t="s">
        <v>33</v>
      </c>
      <c r="T82" s="38">
        <v>1620.75</v>
      </c>
      <c r="U82" s="38">
        <v>2</v>
      </c>
      <c r="V82" s="23" t="s">
        <v>31</v>
      </c>
      <c r="W82" s="23" t="s">
        <v>31</v>
      </c>
      <c r="X82" s="38" t="s">
        <v>93</v>
      </c>
      <c r="Y82" s="38">
        <v>1.5</v>
      </c>
      <c r="Z82" s="38" t="s">
        <v>94</v>
      </c>
      <c r="AA82" s="38" t="s">
        <v>31</v>
      </c>
      <c r="AB82" s="38" t="s">
        <v>95</v>
      </c>
      <c r="AC82" s="187" t="s">
        <v>502</v>
      </c>
      <c r="AD82" s="187"/>
      <c r="AE82" s="187" t="s">
        <v>402</v>
      </c>
      <c r="AF82" s="187"/>
      <c r="AG82" s="187"/>
      <c r="AH82" s="123" t="str">
        <f>IF(AG82=1,'BU FACILITIES'!$G$24,"")</f>
        <v/>
      </c>
      <c r="AI82" s="187" t="s">
        <v>530</v>
      </c>
      <c r="AJ82" s="196">
        <v>1</v>
      </c>
      <c r="AK82" s="120">
        <f>AJ82*'BU FACILITIES'!$G$21</f>
        <v>1714.6341463414635</v>
      </c>
      <c r="AL82" s="196">
        <v>1</v>
      </c>
      <c r="AM82" s="121">
        <f>PRODUCT( AL82,'BU FACILITIES'!$G$22)</f>
        <v>870.73170731707319</v>
      </c>
      <c r="AN82" s="187"/>
      <c r="AO82" s="187"/>
      <c r="AP82" s="125" t="str">
        <f>IF(AO82=1,'BU FACILITIES'!$G$23,"")</f>
        <v/>
      </c>
      <c r="AQ82" s="187"/>
      <c r="AR82" s="187"/>
      <c r="AS82" s="122" t="str">
        <f>IF(AR82=300,AQ82*'BU FACILITIES'!$G$4, IF(AND(AR82&gt;300,AR82&lt;=500), AQ82*'BU FACILITIES'!$G$5, IF(AND(AR82&gt;500,AR82&lt;=1250), AQ82*'BU FACILITIES'!$G$6, IF(AND(AR82&gt;1250,AR82&lt;=2000),AQ82*'BU FACILITIES'!$G$7, ""))))</f>
        <v/>
      </c>
      <c r="AT82" s="187"/>
      <c r="AU82" s="187"/>
      <c r="AV82" s="122" t="str">
        <f>IF(AU82=100,AT82*'BU FACILITIES'!$G$8, IF(AND(AU82&gt;100,AU82&lt;=500), AT82*'BU FACILITIES'!$G$9, IF(AND(AU82&gt;500,AU82&lt;=800), AT82*'BU FACILITIES'!$G$10, IF(AND(AU82&gt;800,AU82&lt;=1000),AT82*'BU FACILITIES'!$G$11, IF(AND(AU82&gt;1000,AU82&lt;=1400),AT82*'BU FACILITIES'!$G$12, IF(AND(AU82&gt;1400,AU82&lt;=2000),AT82*'BU FACILITIES'!$G$13,""))))))</f>
        <v/>
      </c>
      <c r="AW82" s="187"/>
      <c r="AX82" s="187"/>
      <c r="AY82" s="122" t="str">
        <f>IF(AX82=30,AW82*'BU FACILITIES'!$G$14, IF(AX82=45, AW82*'BU FACILITIES'!$G$15, IF(AX82=450, AW82*'BU FACILITIES'!$G$16, "")))</f>
        <v/>
      </c>
      <c r="AZ82" s="187"/>
      <c r="BA82" s="187"/>
      <c r="BB82" s="187" t="str">
        <f>IF(AND(BA82&gt;=1,BA82&lt;=5),'BU FACILITIES'!$G$17, IF(AND(BA82&gt;5, BA82&lt;=10), 'BU FACILITIES'!$G$18, IF(AND(BA82&gt;10,BA82&lt;=20),'BU FACILITIES'!$G$19,"")))</f>
        <v/>
      </c>
      <c r="BC82" s="187"/>
      <c r="BD82" s="195" t="str">
        <f>IF(AND(AZ82="Modificar ductería de AA",BC82=1), 'BU FACILITIES'!$G$20, "")</f>
        <v/>
      </c>
    </row>
    <row r="83" spans="1:56" s="3" customFormat="1" ht="12.75" hidden="1" x14ac:dyDescent="0.2">
      <c r="A83" s="37" t="s">
        <v>90</v>
      </c>
      <c r="B83" s="38" t="s">
        <v>25</v>
      </c>
      <c r="C83" s="38" t="s">
        <v>26</v>
      </c>
      <c r="D83" s="38" t="s">
        <v>91</v>
      </c>
      <c r="E83" s="38" t="s">
        <v>92</v>
      </c>
      <c r="F83" s="38">
        <v>2023</v>
      </c>
      <c r="G83" s="23" t="s">
        <v>532</v>
      </c>
      <c r="H83" s="23" t="s">
        <v>82</v>
      </c>
      <c r="I83" s="23" t="s">
        <v>31</v>
      </c>
      <c r="J83" s="38" t="s">
        <v>32</v>
      </c>
      <c r="K83" s="23">
        <v>1</v>
      </c>
      <c r="L83" s="23">
        <v>6</v>
      </c>
      <c r="M83" s="23">
        <v>475</v>
      </c>
      <c r="N83" s="134">
        <v>2850</v>
      </c>
      <c r="O83" s="23" t="s">
        <v>31</v>
      </c>
      <c r="P83" s="23">
        <f t="shared" si="2"/>
        <v>2850</v>
      </c>
      <c r="Q83" s="217">
        <f t="shared" si="3"/>
        <v>1</v>
      </c>
      <c r="R83" s="126" t="e">
        <f>VLOOKUP(G83,#REF!,11,0)*Q83</f>
        <v>#REF!</v>
      </c>
      <c r="S83" s="38" t="s">
        <v>33</v>
      </c>
      <c r="T83" s="38">
        <v>1620.75</v>
      </c>
      <c r="U83" s="38">
        <v>2</v>
      </c>
      <c r="V83" s="23" t="s">
        <v>31</v>
      </c>
      <c r="W83" s="23" t="s">
        <v>31</v>
      </c>
      <c r="X83" s="38" t="s">
        <v>93</v>
      </c>
      <c r="Y83" s="38">
        <v>1.5</v>
      </c>
      <c r="Z83" s="38" t="s">
        <v>94</v>
      </c>
      <c r="AA83" s="38" t="s">
        <v>31</v>
      </c>
      <c r="AB83" s="38" t="s">
        <v>95</v>
      </c>
      <c r="AC83" s="187" t="s">
        <v>502</v>
      </c>
      <c r="AD83" s="187"/>
      <c r="AE83" s="187" t="s">
        <v>402</v>
      </c>
      <c r="AF83" s="187"/>
      <c r="AG83" s="187"/>
      <c r="AH83" s="123" t="str">
        <f>IF(AG83=1,'BU FACILITIES'!$G$24,"")</f>
        <v/>
      </c>
      <c r="AI83" s="187" t="s">
        <v>530</v>
      </c>
      <c r="AJ83" s="196">
        <v>0</v>
      </c>
      <c r="AK83" s="120">
        <f>AJ83*'BU FACILITIES'!$G$21</f>
        <v>0</v>
      </c>
      <c r="AL83" s="196">
        <v>0</v>
      </c>
      <c r="AM83" s="121">
        <f>PRODUCT( AL83,'BU FACILITIES'!$G$22)</f>
        <v>0</v>
      </c>
      <c r="AN83" s="187"/>
      <c r="AO83" s="187"/>
      <c r="AP83" s="125" t="str">
        <f>IF(AO83=1,'BU FACILITIES'!$G$23,"")</f>
        <v/>
      </c>
      <c r="AQ83" s="187"/>
      <c r="AR83" s="187"/>
      <c r="AS83" s="122" t="str">
        <f>IF(AR83=300,AQ83*'BU FACILITIES'!$G$4, IF(AND(AR83&gt;300,AR83&lt;=500), AQ83*'BU FACILITIES'!$G$5, IF(AND(AR83&gt;500,AR83&lt;=1250), AQ83*'BU FACILITIES'!$G$6, IF(AND(AR83&gt;1250,AR83&lt;=2000),AQ83*'BU FACILITIES'!$G$7, ""))))</f>
        <v/>
      </c>
      <c r="AT83" s="187"/>
      <c r="AU83" s="187"/>
      <c r="AV83" s="122" t="str">
        <f>IF(AU83=100,AT83*'BU FACILITIES'!$G$8, IF(AND(AU83&gt;100,AU83&lt;=500), AT83*'BU FACILITIES'!$G$9, IF(AND(AU83&gt;500,AU83&lt;=800), AT83*'BU FACILITIES'!$G$10, IF(AND(AU83&gt;800,AU83&lt;=1000),AT83*'BU FACILITIES'!$G$11, IF(AND(AU83&gt;1000,AU83&lt;=1400),AT83*'BU FACILITIES'!$G$12, IF(AND(AU83&gt;1400,AU83&lt;=2000),AT83*'BU FACILITIES'!$G$13,""))))))</f>
        <v/>
      </c>
      <c r="AW83" s="187"/>
      <c r="AX83" s="187"/>
      <c r="AY83" s="122" t="str">
        <f>IF(AX83=30,AW83*'BU FACILITIES'!$G$14, IF(AX83=45, AW83*'BU FACILITIES'!$G$15, IF(AX83=450, AW83*'BU FACILITIES'!$G$16, "")))</f>
        <v/>
      </c>
      <c r="AZ83" s="187"/>
      <c r="BA83" s="187"/>
      <c r="BB83" s="187" t="str">
        <f>IF(AND(BA83&gt;=1,BA83&lt;=5),'BU FACILITIES'!$G$17, IF(AND(BA83&gt;5, BA83&lt;=10), 'BU FACILITIES'!$G$18, IF(AND(BA83&gt;10,BA83&lt;=20),'BU FACILITIES'!$G$19,"")))</f>
        <v/>
      </c>
      <c r="BC83" s="187"/>
      <c r="BD83" s="195" t="str">
        <f>IF(AND(AZ83="Modificar ductería de AA",BC83=1), 'BU FACILITIES'!$G$20, "")</f>
        <v/>
      </c>
    </row>
    <row r="84" spans="1:56" s="3" customFormat="1" ht="12.75" hidden="1" x14ac:dyDescent="0.2">
      <c r="A84" s="37" t="s">
        <v>90</v>
      </c>
      <c r="B84" s="38" t="s">
        <v>25</v>
      </c>
      <c r="C84" s="38" t="s">
        <v>26</v>
      </c>
      <c r="D84" s="38" t="s">
        <v>91</v>
      </c>
      <c r="E84" s="38" t="s">
        <v>92</v>
      </c>
      <c r="F84" s="38">
        <v>2023</v>
      </c>
      <c r="G84" s="23" t="s">
        <v>148</v>
      </c>
      <c r="H84" s="23" t="s">
        <v>146</v>
      </c>
      <c r="I84" s="23" t="s">
        <v>31</v>
      </c>
      <c r="J84" s="38" t="s">
        <v>32</v>
      </c>
      <c r="K84" s="23">
        <v>3</v>
      </c>
      <c r="L84" s="23">
        <v>10</v>
      </c>
      <c r="M84" s="23">
        <v>475</v>
      </c>
      <c r="N84" s="134">
        <v>4750</v>
      </c>
      <c r="O84" s="23" t="s">
        <v>31</v>
      </c>
      <c r="P84" s="23">
        <f t="shared" si="2"/>
        <v>4750</v>
      </c>
      <c r="Q84" s="217">
        <f t="shared" si="3"/>
        <v>1</v>
      </c>
      <c r="R84" s="126" t="e">
        <f>VLOOKUP(G84,#REF!,11,0)*Q84</f>
        <v>#REF!</v>
      </c>
      <c r="S84" s="38" t="s">
        <v>33</v>
      </c>
      <c r="T84" s="38">
        <v>1620.75</v>
      </c>
      <c r="U84" s="38">
        <v>6</v>
      </c>
      <c r="V84" s="23" t="s">
        <v>31</v>
      </c>
      <c r="W84" s="23" t="s">
        <v>31</v>
      </c>
      <c r="X84" s="38" t="s">
        <v>93</v>
      </c>
      <c r="Y84" s="38">
        <v>4.5</v>
      </c>
      <c r="Z84" s="38" t="s">
        <v>94</v>
      </c>
      <c r="AA84" s="38" t="s">
        <v>31</v>
      </c>
      <c r="AB84" s="38" t="s">
        <v>95</v>
      </c>
      <c r="AC84" s="187" t="s">
        <v>533</v>
      </c>
      <c r="AD84" s="187">
        <v>4</v>
      </c>
      <c r="AE84" s="187" t="s">
        <v>407</v>
      </c>
      <c r="AF84" s="187"/>
      <c r="AG84" s="187"/>
      <c r="AH84" s="123" t="str">
        <f>IF(AG84=1,'BU FACILITIES'!$G$24,"")</f>
        <v/>
      </c>
      <c r="AI84" s="187" t="s">
        <v>407</v>
      </c>
      <c r="AJ84" s="196">
        <v>1</v>
      </c>
      <c r="AK84" s="120">
        <f>AJ84*'BU FACILITIES'!$G$21</f>
        <v>1714.6341463414635</v>
      </c>
      <c r="AL84" s="196">
        <v>1</v>
      </c>
      <c r="AM84" s="121">
        <f>PRODUCT( AL84,'BU FACILITIES'!$G$22)</f>
        <v>870.73170731707319</v>
      </c>
      <c r="AN84" s="187"/>
      <c r="AO84" s="187"/>
      <c r="AP84" s="125" t="str">
        <f>IF(AO84=1,'BU FACILITIES'!$G$23,"")</f>
        <v/>
      </c>
      <c r="AQ84" s="187"/>
      <c r="AR84" s="187"/>
      <c r="AS84" s="122" t="str">
        <f>IF(AR84=300,AQ84*'BU FACILITIES'!$G$4, IF(AND(AR84&gt;300,AR84&lt;=500), AQ84*'BU FACILITIES'!$G$5, IF(AND(AR84&gt;500,AR84&lt;=1250), AQ84*'BU FACILITIES'!$G$6, IF(AND(AR84&gt;1250,AR84&lt;=2000),AQ84*'BU FACILITIES'!$G$7, ""))))</f>
        <v/>
      </c>
      <c r="AT84" s="187"/>
      <c r="AU84" s="187"/>
      <c r="AV84" s="122" t="str">
        <f>IF(AU84=100,AT84*'BU FACILITIES'!$G$8, IF(AND(AU84&gt;100,AU84&lt;=500), AT84*'BU FACILITIES'!$G$9, IF(AND(AU84&gt;500,AU84&lt;=800), AT84*'BU FACILITIES'!$G$10, IF(AND(AU84&gt;800,AU84&lt;=1000),AT84*'BU FACILITIES'!$G$11, IF(AND(AU84&gt;1000,AU84&lt;=1400),AT84*'BU FACILITIES'!$G$12, IF(AND(AU84&gt;1400,AU84&lt;=2000),AT84*'BU FACILITIES'!$G$13,""))))))</f>
        <v/>
      </c>
      <c r="AW84" s="187"/>
      <c r="AX84" s="187"/>
      <c r="AY84" s="122" t="str">
        <f>IF(AX84=30,AW84*'BU FACILITIES'!$G$14, IF(AX84=45, AW84*'BU FACILITIES'!$G$15, IF(AX84=450, AW84*'BU FACILITIES'!$G$16, "")))</f>
        <v/>
      </c>
      <c r="AZ84" s="187"/>
      <c r="BA84" s="187"/>
      <c r="BB84" s="187" t="str">
        <f>IF(AND(BA84&gt;=1,BA84&lt;=5),'BU FACILITIES'!$G$17, IF(AND(BA84&gt;5, BA84&lt;=10), 'BU FACILITIES'!$G$18, IF(AND(BA84&gt;10,BA84&lt;=20),'BU FACILITIES'!$G$19,"")))</f>
        <v/>
      </c>
      <c r="BC84" s="187"/>
      <c r="BD84" s="195" t="str">
        <f>IF(AND(AZ84="Modificar ductería de AA",BC84=1), 'BU FACILITIES'!$G$20, "")</f>
        <v/>
      </c>
    </row>
    <row r="85" spans="1:56" s="3" customFormat="1" ht="12.75" hidden="1" x14ac:dyDescent="0.2">
      <c r="A85" s="37" t="s">
        <v>90</v>
      </c>
      <c r="B85" s="38" t="s">
        <v>25</v>
      </c>
      <c r="C85" s="38" t="s">
        <v>26</v>
      </c>
      <c r="D85" s="38" t="s">
        <v>91</v>
      </c>
      <c r="E85" s="38" t="s">
        <v>92</v>
      </c>
      <c r="F85" s="38">
        <v>2023</v>
      </c>
      <c r="G85" s="23" t="s">
        <v>44</v>
      </c>
      <c r="H85" s="23" t="s">
        <v>150</v>
      </c>
      <c r="I85" s="23" t="s">
        <v>31</v>
      </c>
      <c r="J85" s="38" t="s">
        <v>32</v>
      </c>
      <c r="K85" s="23">
        <v>1</v>
      </c>
      <c r="L85" s="23">
        <v>6</v>
      </c>
      <c r="M85" s="23">
        <v>475</v>
      </c>
      <c r="N85" s="134">
        <v>2850</v>
      </c>
      <c r="O85" s="23" t="s">
        <v>31</v>
      </c>
      <c r="P85" s="23">
        <f t="shared" si="2"/>
        <v>2850</v>
      </c>
      <c r="Q85" s="217">
        <f t="shared" si="3"/>
        <v>1</v>
      </c>
      <c r="R85" s="126" t="e">
        <f>VLOOKUP(G85,#REF!,11,0)*Q85</f>
        <v>#REF!</v>
      </c>
      <c r="S85" s="38" t="s">
        <v>33</v>
      </c>
      <c r="T85" s="38">
        <v>1620.75</v>
      </c>
      <c r="U85" s="38">
        <v>2</v>
      </c>
      <c r="V85" s="23" t="s">
        <v>31</v>
      </c>
      <c r="W85" s="23" t="s">
        <v>31</v>
      </c>
      <c r="X85" s="38" t="s">
        <v>93</v>
      </c>
      <c r="Y85" s="38">
        <v>1.5</v>
      </c>
      <c r="Z85" s="38" t="s">
        <v>94</v>
      </c>
      <c r="AA85" s="38" t="s">
        <v>31</v>
      </c>
      <c r="AB85" s="38" t="s">
        <v>95</v>
      </c>
      <c r="AC85" s="187" t="s">
        <v>533</v>
      </c>
      <c r="AD85" s="187">
        <v>4</v>
      </c>
      <c r="AE85" s="187" t="s">
        <v>407</v>
      </c>
      <c r="AF85" s="187"/>
      <c r="AG85" s="187"/>
      <c r="AH85" s="123" t="str">
        <f>IF(AG85=1,'BU FACILITIES'!$G$24,"")</f>
        <v/>
      </c>
      <c r="AI85" s="187" t="s">
        <v>407</v>
      </c>
      <c r="AJ85" s="196">
        <v>1</v>
      </c>
      <c r="AK85" s="120">
        <f>AJ85*'BU FACILITIES'!$G$21</f>
        <v>1714.6341463414635</v>
      </c>
      <c r="AL85" s="196">
        <v>1</v>
      </c>
      <c r="AM85" s="121">
        <f>PRODUCT( AL85,'BU FACILITIES'!$G$22)</f>
        <v>870.73170731707319</v>
      </c>
      <c r="AN85" s="187"/>
      <c r="AO85" s="187"/>
      <c r="AP85" s="125" t="str">
        <f>IF(AO85=1,'BU FACILITIES'!$G$23,"")</f>
        <v/>
      </c>
      <c r="AQ85" s="187"/>
      <c r="AR85" s="187"/>
      <c r="AS85" s="122" t="str">
        <f>IF(AR85=300,AQ85*'BU FACILITIES'!$G$4, IF(AND(AR85&gt;300,AR85&lt;=500), AQ85*'BU FACILITIES'!$G$5, IF(AND(AR85&gt;500,AR85&lt;=1250), AQ85*'BU FACILITIES'!$G$6, IF(AND(AR85&gt;1250,AR85&lt;=2000),AQ85*'BU FACILITIES'!$G$7, ""))))</f>
        <v/>
      </c>
      <c r="AT85" s="187"/>
      <c r="AU85" s="187"/>
      <c r="AV85" s="122" t="str">
        <f>IF(AU85=100,AT85*'BU FACILITIES'!$G$8, IF(AND(AU85&gt;100,AU85&lt;=500), AT85*'BU FACILITIES'!$G$9, IF(AND(AU85&gt;500,AU85&lt;=800), AT85*'BU FACILITIES'!$G$10, IF(AND(AU85&gt;800,AU85&lt;=1000),AT85*'BU FACILITIES'!$G$11, IF(AND(AU85&gt;1000,AU85&lt;=1400),AT85*'BU FACILITIES'!$G$12, IF(AND(AU85&gt;1400,AU85&lt;=2000),AT85*'BU FACILITIES'!$G$13,""))))))</f>
        <v/>
      </c>
      <c r="AW85" s="187"/>
      <c r="AX85" s="187"/>
      <c r="AY85" s="122" t="str">
        <f>IF(AX85=30,AW85*'BU FACILITIES'!$G$14, IF(AX85=45, AW85*'BU FACILITIES'!$G$15, IF(AX85=450, AW85*'BU FACILITIES'!$G$16, "")))</f>
        <v/>
      </c>
      <c r="AZ85" s="187"/>
      <c r="BA85" s="187"/>
      <c r="BB85" s="187" t="str">
        <f>IF(AND(BA85&gt;=1,BA85&lt;=5),'BU FACILITIES'!$G$17, IF(AND(BA85&gt;5, BA85&lt;=10), 'BU FACILITIES'!$G$18, IF(AND(BA85&gt;10,BA85&lt;=20),'BU FACILITIES'!$G$19,"")))</f>
        <v/>
      </c>
      <c r="BC85" s="187"/>
      <c r="BD85" s="195" t="str">
        <f>IF(AND(AZ85="Modificar ductería de AA",BC85=1), 'BU FACILITIES'!$G$20, "")</f>
        <v/>
      </c>
    </row>
    <row r="86" spans="1:56" s="3" customFormat="1" ht="12.75" hidden="1" x14ac:dyDescent="0.2">
      <c r="A86" s="37" t="s">
        <v>90</v>
      </c>
      <c r="B86" s="38" t="s">
        <v>25</v>
      </c>
      <c r="C86" s="38" t="s">
        <v>26</v>
      </c>
      <c r="D86" s="38" t="s">
        <v>91</v>
      </c>
      <c r="E86" s="38" t="s">
        <v>92</v>
      </c>
      <c r="F86" s="38">
        <v>2023</v>
      </c>
      <c r="G86" s="23" t="s">
        <v>534</v>
      </c>
      <c r="H86" s="23" t="s">
        <v>150</v>
      </c>
      <c r="I86" s="23" t="s">
        <v>31</v>
      </c>
      <c r="J86" s="38" t="s">
        <v>32</v>
      </c>
      <c r="K86" s="23">
        <v>2</v>
      </c>
      <c r="L86" s="23">
        <v>10</v>
      </c>
      <c r="M86" s="23">
        <v>475</v>
      </c>
      <c r="N86" s="134">
        <v>4750</v>
      </c>
      <c r="O86" s="23" t="s">
        <v>31</v>
      </c>
      <c r="P86" s="23">
        <f t="shared" si="2"/>
        <v>5950</v>
      </c>
      <c r="Q86" s="217">
        <f t="shared" si="3"/>
        <v>0.79831932773109249</v>
      </c>
      <c r="R86" s="126" t="e">
        <f>VLOOKUP(G86,#REF!,11,0)*Q86</f>
        <v>#REF!</v>
      </c>
      <c r="S86" s="38" t="s">
        <v>33</v>
      </c>
      <c r="T86" s="38">
        <v>1620.75</v>
      </c>
      <c r="U86" s="38">
        <v>4</v>
      </c>
      <c r="V86" s="23" t="s">
        <v>31</v>
      </c>
      <c r="W86" s="23" t="s">
        <v>31</v>
      </c>
      <c r="X86" s="38" t="s">
        <v>93</v>
      </c>
      <c r="Y86" s="38">
        <v>3</v>
      </c>
      <c r="Z86" s="38" t="s">
        <v>94</v>
      </c>
      <c r="AA86" s="38" t="s">
        <v>31</v>
      </c>
      <c r="AB86" s="38" t="s">
        <v>95</v>
      </c>
      <c r="AC86" s="187" t="s">
        <v>533</v>
      </c>
      <c r="AD86" s="187">
        <v>3</v>
      </c>
      <c r="AE86" s="187" t="s">
        <v>407</v>
      </c>
      <c r="AF86" s="187"/>
      <c r="AG86" s="187"/>
      <c r="AH86" s="123" t="str">
        <f>IF(AG86=1,'BU FACILITIES'!$G$24,"")</f>
        <v/>
      </c>
      <c r="AI86" s="187" t="s">
        <v>407</v>
      </c>
      <c r="AJ86" s="196">
        <v>1</v>
      </c>
      <c r="AK86" s="120">
        <f>AJ86*'BU FACILITIES'!$G$21</f>
        <v>1714.6341463414635</v>
      </c>
      <c r="AL86" s="196">
        <v>1</v>
      </c>
      <c r="AM86" s="121">
        <f>PRODUCT( AL86,'BU FACILITIES'!$G$22)</f>
        <v>870.73170731707319</v>
      </c>
      <c r="AN86" s="187"/>
      <c r="AO86" s="187"/>
      <c r="AP86" s="125" t="str">
        <f>IF(AO86=1,'BU FACILITIES'!$G$23,"")</f>
        <v/>
      </c>
      <c r="AQ86" s="187"/>
      <c r="AR86" s="187"/>
      <c r="AS86" s="122" t="str">
        <f>IF(AR86=300,AQ86*'BU FACILITIES'!$G$4, IF(AND(AR86&gt;300,AR86&lt;=500), AQ86*'BU FACILITIES'!$G$5, IF(AND(AR86&gt;500,AR86&lt;=1250), AQ86*'BU FACILITIES'!$G$6, IF(AND(AR86&gt;1250,AR86&lt;=2000),AQ86*'BU FACILITIES'!$G$7, ""))))</f>
        <v/>
      </c>
      <c r="AT86" s="187"/>
      <c r="AU86" s="187"/>
      <c r="AV86" s="122" t="str">
        <f>IF(AU86=100,AT86*'BU FACILITIES'!$G$8, IF(AND(AU86&gt;100,AU86&lt;=500), AT86*'BU FACILITIES'!$G$9, IF(AND(AU86&gt;500,AU86&lt;=800), AT86*'BU FACILITIES'!$G$10, IF(AND(AU86&gt;800,AU86&lt;=1000),AT86*'BU FACILITIES'!$G$11, IF(AND(AU86&gt;1000,AU86&lt;=1400),AT86*'BU FACILITIES'!$G$12, IF(AND(AU86&gt;1400,AU86&lt;=2000),AT86*'BU FACILITIES'!$G$13,""))))))</f>
        <v/>
      </c>
      <c r="AW86" s="187"/>
      <c r="AX86" s="187"/>
      <c r="AY86" s="122" t="str">
        <f>IF(AX86=30,AW86*'BU FACILITIES'!$G$14, IF(AX86=45, AW86*'BU FACILITIES'!$G$15, IF(AX86=450, AW86*'BU FACILITIES'!$G$16, "")))</f>
        <v/>
      </c>
      <c r="AZ86" s="187"/>
      <c r="BA86" s="187"/>
      <c r="BB86" s="187" t="str">
        <f>IF(AND(BA86&gt;=1,BA86&lt;=5),'BU FACILITIES'!$G$17, IF(AND(BA86&gt;5, BA86&lt;=10), 'BU FACILITIES'!$G$18, IF(AND(BA86&gt;10,BA86&lt;=20),'BU FACILITIES'!$G$19,"")))</f>
        <v/>
      </c>
      <c r="BC86" s="187"/>
      <c r="BD86" s="195" t="str">
        <f>IF(AND(AZ86="Modificar ductería de AA",BC86=1), 'BU FACILITIES'!$G$20, "")</f>
        <v/>
      </c>
    </row>
    <row r="87" spans="1:56" s="3" customFormat="1" ht="12.75" hidden="1" x14ac:dyDescent="0.2">
      <c r="A87" s="37" t="s">
        <v>90</v>
      </c>
      <c r="B87" s="38" t="s">
        <v>25</v>
      </c>
      <c r="C87" s="38" t="s">
        <v>26</v>
      </c>
      <c r="D87" s="38" t="s">
        <v>91</v>
      </c>
      <c r="E87" s="38" t="s">
        <v>92</v>
      </c>
      <c r="F87" s="38">
        <v>2023</v>
      </c>
      <c r="G87" s="23" t="s">
        <v>151</v>
      </c>
      <c r="H87" s="23" t="s">
        <v>152</v>
      </c>
      <c r="I87" s="23" t="s">
        <v>31</v>
      </c>
      <c r="J87" s="38" t="s">
        <v>32</v>
      </c>
      <c r="K87" s="23">
        <v>1</v>
      </c>
      <c r="L87" s="23">
        <v>6</v>
      </c>
      <c r="M87" s="23">
        <v>475</v>
      </c>
      <c r="N87" s="134">
        <v>2850</v>
      </c>
      <c r="O87" s="23" t="s">
        <v>31</v>
      </c>
      <c r="P87" s="23">
        <f t="shared" si="2"/>
        <v>2850</v>
      </c>
      <c r="Q87" s="217">
        <f t="shared" si="3"/>
        <v>1</v>
      </c>
      <c r="R87" s="126" t="e">
        <f>VLOOKUP(G87,#REF!,11,0)*Q87</f>
        <v>#REF!</v>
      </c>
      <c r="S87" s="38" t="s">
        <v>33</v>
      </c>
      <c r="T87" s="38">
        <v>1620.75</v>
      </c>
      <c r="U87" s="38">
        <v>2</v>
      </c>
      <c r="V87" s="23" t="s">
        <v>31</v>
      </c>
      <c r="W87" s="23" t="s">
        <v>31</v>
      </c>
      <c r="X87" s="38" t="s">
        <v>93</v>
      </c>
      <c r="Y87" s="38">
        <v>1.5</v>
      </c>
      <c r="Z87" s="38" t="s">
        <v>94</v>
      </c>
      <c r="AA87" s="38" t="s">
        <v>31</v>
      </c>
      <c r="AB87" s="38" t="s">
        <v>95</v>
      </c>
      <c r="AC87" s="187" t="s">
        <v>533</v>
      </c>
      <c r="AD87" s="187" t="s">
        <v>437</v>
      </c>
      <c r="AE87" s="187" t="s">
        <v>407</v>
      </c>
      <c r="AF87" s="187"/>
      <c r="AG87" s="187"/>
      <c r="AH87" s="123" t="str">
        <f>IF(AG87=1,'BU FACILITIES'!$G$24,"")</f>
        <v/>
      </c>
      <c r="AI87" s="187" t="s">
        <v>407</v>
      </c>
      <c r="AJ87" s="196">
        <v>1</v>
      </c>
      <c r="AK87" s="120">
        <f>AJ87*'BU FACILITIES'!$G$21</f>
        <v>1714.6341463414635</v>
      </c>
      <c r="AL87" s="196">
        <v>1</v>
      </c>
      <c r="AM87" s="121">
        <f>PRODUCT( AL87,'BU FACILITIES'!$G$22)</f>
        <v>870.73170731707319</v>
      </c>
      <c r="AN87" s="187"/>
      <c r="AO87" s="187"/>
      <c r="AP87" s="125" t="str">
        <f>IF(AO87=1,'BU FACILITIES'!$G$23,"")</f>
        <v/>
      </c>
      <c r="AQ87" s="187"/>
      <c r="AR87" s="187"/>
      <c r="AS87" s="122" t="str">
        <f>IF(AR87=300,AQ87*'BU FACILITIES'!$G$4, IF(AND(AR87&gt;300,AR87&lt;=500), AQ87*'BU FACILITIES'!$G$5, IF(AND(AR87&gt;500,AR87&lt;=1250), AQ87*'BU FACILITIES'!$G$6, IF(AND(AR87&gt;1250,AR87&lt;=2000),AQ87*'BU FACILITIES'!$G$7, ""))))</f>
        <v/>
      </c>
      <c r="AT87" s="187"/>
      <c r="AU87" s="187"/>
      <c r="AV87" s="122" t="str">
        <f>IF(AU87=100,AT87*'BU FACILITIES'!$G$8, IF(AND(AU87&gt;100,AU87&lt;=500), AT87*'BU FACILITIES'!$G$9, IF(AND(AU87&gt;500,AU87&lt;=800), AT87*'BU FACILITIES'!$G$10, IF(AND(AU87&gt;800,AU87&lt;=1000),AT87*'BU FACILITIES'!$G$11, IF(AND(AU87&gt;1000,AU87&lt;=1400),AT87*'BU FACILITIES'!$G$12, IF(AND(AU87&gt;1400,AU87&lt;=2000),AT87*'BU FACILITIES'!$G$13,""))))))</f>
        <v/>
      </c>
      <c r="AW87" s="187"/>
      <c r="AX87" s="187"/>
      <c r="AY87" s="122" t="str">
        <f>IF(AX87=30,AW87*'BU FACILITIES'!$G$14, IF(AX87=45, AW87*'BU FACILITIES'!$G$15, IF(AX87=450, AW87*'BU FACILITIES'!$G$16, "")))</f>
        <v/>
      </c>
      <c r="AZ87" s="187"/>
      <c r="BA87" s="187"/>
      <c r="BB87" s="187" t="str">
        <f>IF(AND(BA87&gt;=1,BA87&lt;=5),'BU FACILITIES'!$G$17, IF(AND(BA87&gt;5, BA87&lt;=10), 'BU FACILITIES'!$G$18, IF(AND(BA87&gt;10,BA87&lt;=20),'BU FACILITIES'!$G$19,"")))</f>
        <v/>
      </c>
      <c r="BC87" s="187"/>
      <c r="BD87" s="195" t="str">
        <f>IF(AND(AZ87="Modificar ductería de AA",BC87=1), 'BU FACILITIES'!$G$20, "")</f>
        <v/>
      </c>
    </row>
    <row r="88" spans="1:56" s="3" customFormat="1" ht="12.75" hidden="1" x14ac:dyDescent="0.2">
      <c r="A88" s="37" t="s">
        <v>90</v>
      </c>
      <c r="B88" s="38" t="s">
        <v>25</v>
      </c>
      <c r="C88" s="38" t="s">
        <v>26</v>
      </c>
      <c r="D88" s="38" t="s">
        <v>91</v>
      </c>
      <c r="E88" s="38" t="s">
        <v>92</v>
      </c>
      <c r="F88" s="38">
        <v>2023</v>
      </c>
      <c r="G88" s="23" t="s">
        <v>153</v>
      </c>
      <c r="H88" s="23" t="s">
        <v>49</v>
      </c>
      <c r="I88" s="23" t="s">
        <v>31</v>
      </c>
      <c r="J88" s="38" t="s">
        <v>32</v>
      </c>
      <c r="K88" s="23">
        <v>1</v>
      </c>
      <c r="L88" s="23">
        <v>6</v>
      </c>
      <c r="M88" s="23">
        <v>475</v>
      </c>
      <c r="N88" s="134">
        <v>2850</v>
      </c>
      <c r="O88" s="23" t="s">
        <v>31</v>
      </c>
      <c r="P88" s="23">
        <f t="shared" si="2"/>
        <v>2850</v>
      </c>
      <c r="Q88" s="217">
        <f t="shared" si="3"/>
        <v>1</v>
      </c>
      <c r="R88" s="126" t="e">
        <f>VLOOKUP(G88,#REF!,11,0)*Q88</f>
        <v>#REF!</v>
      </c>
      <c r="S88" s="38" t="s">
        <v>33</v>
      </c>
      <c r="T88" s="38">
        <v>1620.75</v>
      </c>
      <c r="U88" s="38">
        <v>2</v>
      </c>
      <c r="V88" s="23" t="s">
        <v>31</v>
      </c>
      <c r="W88" s="23" t="s">
        <v>31</v>
      </c>
      <c r="X88" s="38" t="s">
        <v>93</v>
      </c>
      <c r="Y88" s="38">
        <v>1.5</v>
      </c>
      <c r="Z88" s="38" t="s">
        <v>94</v>
      </c>
      <c r="AA88" s="38" t="s">
        <v>31</v>
      </c>
      <c r="AB88" s="38" t="s">
        <v>95</v>
      </c>
      <c r="AC88" s="187" t="s">
        <v>533</v>
      </c>
      <c r="AD88" s="187" t="s">
        <v>437</v>
      </c>
      <c r="AE88" s="187" t="s">
        <v>407</v>
      </c>
      <c r="AF88" s="187"/>
      <c r="AG88" s="187"/>
      <c r="AH88" s="123" t="str">
        <f>IF(AG88=1,'BU FACILITIES'!$G$24,"")</f>
        <v/>
      </c>
      <c r="AI88" s="187" t="s">
        <v>407</v>
      </c>
      <c r="AJ88" s="196">
        <v>1</v>
      </c>
      <c r="AK88" s="120">
        <f>AJ88*'BU FACILITIES'!$G$21</f>
        <v>1714.6341463414635</v>
      </c>
      <c r="AL88" s="196">
        <v>1</v>
      </c>
      <c r="AM88" s="121">
        <f>PRODUCT( AL88,'BU FACILITIES'!$G$22)</f>
        <v>870.73170731707319</v>
      </c>
      <c r="AN88" s="187"/>
      <c r="AO88" s="187"/>
      <c r="AP88" s="125" t="str">
        <f>IF(AO88=1,'BU FACILITIES'!$G$23,"")</f>
        <v/>
      </c>
      <c r="AQ88" s="187"/>
      <c r="AR88" s="187"/>
      <c r="AS88" s="122" t="str">
        <f>IF(AR88=300,AQ88*'BU FACILITIES'!$G$4, IF(AND(AR88&gt;300,AR88&lt;=500), AQ88*'BU FACILITIES'!$G$5, IF(AND(AR88&gt;500,AR88&lt;=1250), AQ88*'BU FACILITIES'!$G$6, IF(AND(AR88&gt;1250,AR88&lt;=2000),AQ88*'BU FACILITIES'!$G$7, ""))))</f>
        <v/>
      </c>
      <c r="AT88" s="187"/>
      <c r="AU88" s="187"/>
      <c r="AV88" s="122" t="str">
        <f>IF(AU88=100,AT88*'BU FACILITIES'!$G$8, IF(AND(AU88&gt;100,AU88&lt;=500), AT88*'BU FACILITIES'!$G$9, IF(AND(AU88&gt;500,AU88&lt;=800), AT88*'BU FACILITIES'!$G$10, IF(AND(AU88&gt;800,AU88&lt;=1000),AT88*'BU FACILITIES'!$G$11, IF(AND(AU88&gt;1000,AU88&lt;=1400),AT88*'BU FACILITIES'!$G$12, IF(AND(AU88&gt;1400,AU88&lt;=2000),AT88*'BU FACILITIES'!$G$13,""))))))</f>
        <v/>
      </c>
      <c r="AW88" s="187"/>
      <c r="AX88" s="187"/>
      <c r="AY88" s="122" t="str">
        <f>IF(AX88=30,AW88*'BU FACILITIES'!$G$14, IF(AX88=45, AW88*'BU FACILITIES'!$G$15, IF(AX88=450, AW88*'BU FACILITIES'!$G$16, "")))</f>
        <v/>
      </c>
      <c r="AZ88" s="187"/>
      <c r="BA88" s="187"/>
      <c r="BB88" s="187" t="str">
        <f>IF(AND(BA88&gt;=1,BA88&lt;=5),'BU FACILITIES'!$G$17, IF(AND(BA88&gt;5, BA88&lt;=10), 'BU FACILITIES'!$G$18, IF(AND(BA88&gt;10,BA88&lt;=20),'BU FACILITIES'!$G$19,"")))</f>
        <v/>
      </c>
      <c r="BC88" s="187"/>
      <c r="BD88" s="195" t="str">
        <f>IF(AND(AZ88="Modificar ductería de AA",BC88=1), 'BU FACILITIES'!$G$20, "")</f>
        <v/>
      </c>
    </row>
    <row r="89" spans="1:56" s="3" customFormat="1" ht="12.75" hidden="1" x14ac:dyDescent="0.2">
      <c r="A89" s="37" t="s">
        <v>90</v>
      </c>
      <c r="B89" s="38" t="s">
        <v>25</v>
      </c>
      <c r="C89" s="38" t="s">
        <v>26</v>
      </c>
      <c r="D89" s="38" t="s">
        <v>91</v>
      </c>
      <c r="E89" s="38" t="s">
        <v>92</v>
      </c>
      <c r="F89" s="38">
        <v>2023</v>
      </c>
      <c r="G89" s="23" t="s">
        <v>535</v>
      </c>
      <c r="H89" s="23" t="s">
        <v>49</v>
      </c>
      <c r="I89" s="23" t="s">
        <v>31</v>
      </c>
      <c r="J89" s="38" t="s">
        <v>32</v>
      </c>
      <c r="K89" s="23">
        <v>2</v>
      </c>
      <c r="L89" s="23">
        <v>8</v>
      </c>
      <c r="M89" s="23">
        <v>475</v>
      </c>
      <c r="N89" s="134">
        <v>3800</v>
      </c>
      <c r="O89" s="23" t="s">
        <v>31</v>
      </c>
      <c r="P89" s="23">
        <f t="shared" si="2"/>
        <v>3800</v>
      </c>
      <c r="Q89" s="217">
        <f t="shared" si="3"/>
        <v>1</v>
      </c>
      <c r="R89" s="126" t="e">
        <f>VLOOKUP(G89,#REF!,11,0)*Q89</f>
        <v>#REF!</v>
      </c>
      <c r="S89" s="38" t="s">
        <v>33</v>
      </c>
      <c r="T89" s="38">
        <v>1620.75</v>
      </c>
      <c r="U89" s="38">
        <v>4</v>
      </c>
      <c r="V89" s="23" t="s">
        <v>31</v>
      </c>
      <c r="W89" s="23" t="s">
        <v>31</v>
      </c>
      <c r="X89" s="38" t="s">
        <v>93</v>
      </c>
      <c r="Y89" s="38">
        <v>3</v>
      </c>
      <c r="Z89" s="38" t="s">
        <v>94</v>
      </c>
      <c r="AA89" s="38" t="s">
        <v>31</v>
      </c>
      <c r="AB89" s="38" t="s">
        <v>95</v>
      </c>
      <c r="AC89" s="187" t="s">
        <v>533</v>
      </c>
      <c r="AD89" s="187" t="s">
        <v>437</v>
      </c>
      <c r="AE89" s="187" t="s">
        <v>407</v>
      </c>
      <c r="AF89" s="187"/>
      <c r="AG89" s="187"/>
      <c r="AH89" s="123" t="str">
        <f>IF(AG89=1,'BU FACILITIES'!$G$24,"")</f>
        <v/>
      </c>
      <c r="AI89" s="187" t="s">
        <v>407</v>
      </c>
      <c r="AJ89" s="196">
        <v>1</v>
      </c>
      <c r="AK89" s="120">
        <f>AJ89*'BU FACILITIES'!$G$21</f>
        <v>1714.6341463414635</v>
      </c>
      <c r="AL89" s="196">
        <v>1</v>
      </c>
      <c r="AM89" s="121">
        <f>PRODUCT( AL89,'BU FACILITIES'!$G$22)</f>
        <v>870.73170731707319</v>
      </c>
      <c r="AN89" s="187"/>
      <c r="AO89" s="187"/>
      <c r="AP89" s="125" t="str">
        <f>IF(AO89=1,'BU FACILITIES'!$G$23,"")</f>
        <v/>
      </c>
      <c r="AQ89" s="187"/>
      <c r="AR89" s="187"/>
      <c r="AS89" s="122" t="str">
        <f>IF(AR89=300,AQ89*'BU FACILITIES'!$G$4, IF(AND(AR89&gt;300,AR89&lt;=500), AQ89*'BU FACILITIES'!$G$5, IF(AND(AR89&gt;500,AR89&lt;=1250), AQ89*'BU FACILITIES'!$G$6, IF(AND(AR89&gt;1250,AR89&lt;=2000),AQ89*'BU FACILITIES'!$G$7, ""))))</f>
        <v/>
      </c>
      <c r="AT89" s="187"/>
      <c r="AU89" s="187"/>
      <c r="AV89" s="122" t="str">
        <f>IF(AU89=100,AT89*'BU FACILITIES'!$G$8, IF(AND(AU89&gt;100,AU89&lt;=500), AT89*'BU FACILITIES'!$G$9, IF(AND(AU89&gt;500,AU89&lt;=800), AT89*'BU FACILITIES'!$G$10, IF(AND(AU89&gt;800,AU89&lt;=1000),AT89*'BU FACILITIES'!$G$11, IF(AND(AU89&gt;1000,AU89&lt;=1400),AT89*'BU FACILITIES'!$G$12, IF(AND(AU89&gt;1400,AU89&lt;=2000),AT89*'BU FACILITIES'!$G$13,""))))))</f>
        <v/>
      </c>
      <c r="AW89" s="187"/>
      <c r="AX89" s="187"/>
      <c r="AY89" s="122" t="str">
        <f>IF(AX89=30,AW89*'BU FACILITIES'!$G$14, IF(AX89=45, AW89*'BU FACILITIES'!$G$15, IF(AX89=450, AW89*'BU FACILITIES'!$G$16, "")))</f>
        <v/>
      </c>
      <c r="AZ89" s="187"/>
      <c r="BA89" s="187"/>
      <c r="BB89" s="187" t="str">
        <f>IF(AND(BA89&gt;=1,BA89&lt;=5),'BU FACILITIES'!$G$17, IF(AND(BA89&gt;5, BA89&lt;=10), 'BU FACILITIES'!$G$18, IF(AND(BA89&gt;10,BA89&lt;=20),'BU FACILITIES'!$G$19,"")))</f>
        <v/>
      </c>
      <c r="BC89" s="187"/>
      <c r="BD89" s="195" t="str">
        <f>IF(AND(AZ89="Modificar ductería de AA",BC89=1), 'BU FACILITIES'!$G$20, "")</f>
        <v/>
      </c>
    </row>
    <row r="90" spans="1:56" s="3" customFormat="1" ht="12.75" hidden="1" x14ac:dyDescent="0.2">
      <c r="A90" s="37" t="s">
        <v>90</v>
      </c>
      <c r="B90" s="38" t="s">
        <v>25</v>
      </c>
      <c r="C90" s="38" t="s">
        <v>26</v>
      </c>
      <c r="D90" s="38" t="s">
        <v>91</v>
      </c>
      <c r="E90" s="38" t="s">
        <v>92</v>
      </c>
      <c r="F90" s="38">
        <v>2023</v>
      </c>
      <c r="G90" s="23" t="s">
        <v>47</v>
      </c>
      <c r="H90" s="23" t="s">
        <v>154</v>
      </c>
      <c r="I90" s="27" t="s">
        <v>31</v>
      </c>
      <c r="J90" s="38" t="s">
        <v>32</v>
      </c>
      <c r="K90" s="23">
        <v>1</v>
      </c>
      <c r="L90" s="23">
        <v>6</v>
      </c>
      <c r="M90" s="23">
        <v>475</v>
      </c>
      <c r="N90" s="132">
        <v>0</v>
      </c>
      <c r="O90" s="23" t="s">
        <v>31</v>
      </c>
      <c r="P90" s="23">
        <f t="shared" si="2"/>
        <v>0</v>
      </c>
      <c r="Q90" s="217" t="str">
        <f t="shared" si="3"/>
        <v>0</v>
      </c>
      <c r="R90" s="126" t="e">
        <f>VLOOKUP(G90,#REF!,11,0)*Q90</f>
        <v>#REF!</v>
      </c>
      <c r="S90" s="38" t="s">
        <v>33</v>
      </c>
      <c r="T90" s="38">
        <v>1620.75</v>
      </c>
      <c r="U90" s="38">
        <v>2</v>
      </c>
      <c r="V90" s="23" t="s">
        <v>31</v>
      </c>
      <c r="W90" s="23" t="s">
        <v>31</v>
      </c>
      <c r="X90" s="38" t="s">
        <v>93</v>
      </c>
      <c r="Y90" s="38">
        <v>1.5</v>
      </c>
      <c r="Z90" s="38" t="s">
        <v>94</v>
      </c>
      <c r="AA90" s="38" t="s">
        <v>31</v>
      </c>
      <c r="AB90" s="38" t="s">
        <v>95</v>
      </c>
      <c r="AC90" s="187" t="s">
        <v>536</v>
      </c>
      <c r="AD90" s="187">
        <v>4</v>
      </c>
      <c r="AE90" s="187" t="s">
        <v>402</v>
      </c>
      <c r="AF90" s="187"/>
      <c r="AG90" s="187"/>
      <c r="AH90" s="123" t="str">
        <f>IF(AG90=1,'BU FACILITIES'!$G$24,"")</f>
        <v/>
      </c>
      <c r="AI90" s="187"/>
      <c r="AJ90" s="196"/>
      <c r="AK90" s="120">
        <f>AJ90*'BU FACILITIES'!$G$21</f>
        <v>0</v>
      </c>
      <c r="AL90" s="196">
        <v>1</v>
      </c>
      <c r="AM90" s="121">
        <f>PRODUCT( AL90,'BU FACILITIES'!$G$22)</f>
        <v>870.73170731707319</v>
      </c>
      <c r="AN90" s="187"/>
      <c r="AO90" s="187"/>
      <c r="AP90" s="125" t="str">
        <f>IF(AO90=1,'BU FACILITIES'!$G$23,"")</f>
        <v/>
      </c>
      <c r="AQ90" s="187">
        <v>0</v>
      </c>
      <c r="AR90" s="187">
        <v>0</v>
      </c>
      <c r="AS90" s="122" t="str">
        <f>IF(AR90=300,AQ90*'BU FACILITIES'!$G$4, IF(AND(AR90&gt;300,AR90&lt;=500), AQ90*'BU FACILITIES'!$G$5, IF(AND(AR90&gt;500,AR90&lt;=1250), AQ90*'BU FACILITIES'!$G$6, IF(AND(AR90&gt;1250,AR90&lt;=2000),AQ90*'BU FACILITIES'!$G$7, ""))))</f>
        <v/>
      </c>
      <c r="AT90" s="187">
        <v>0</v>
      </c>
      <c r="AU90" s="187">
        <v>0</v>
      </c>
      <c r="AV90" s="122" t="str">
        <f>IF(AU90=100,AT90*'BU FACILITIES'!$G$8, IF(AND(AU90&gt;100,AU90&lt;=500), AT90*'BU FACILITIES'!$G$9, IF(AND(AU90&gt;500,AU90&lt;=800), AT90*'BU FACILITIES'!$G$10, IF(AND(AU90&gt;800,AU90&lt;=1000),AT90*'BU FACILITIES'!$G$11, IF(AND(AU90&gt;1000,AU90&lt;=1400),AT90*'BU FACILITIES'!$G$12, IF(AND(AU90&gt;1400,AU90&lt;=2000),AT90*'BU FACILITIES'!$G$13,""))))))</f>
        <v/>
      </c>
      <c r="AW90" s="187">
        <v>0</v>
      </c>
      <c r="AX90" s="187">
        <v>0</v>
      </c>
      <c r="AY90" s="122" t="str">
        <f>IF(AX90=30,AW90*'BU FACILITIES'!$G$14, IF(AX90=45, AW90*'BU FACILITIES'!$G$15, IF(AX90=450, AW90*'BU FACILITIES'!$G$16, "")))</f>
        <v/>
      </c>
      <c r="AZ90" s="187">
        <v>0</v>
      </c>
      <c r="BA90" s="187">
        <v>0</v>
      </c>
      <c r="BB90" s="187" t="str">
        <f>IF(AND(BA90&gt;=1,BA90&lt;=5),'BU FACILITIES'!$G$17, IF(AND(BA90&gt;5, BA90&lt;=10), 'BU FACILITIES'!$G$18, IF(AND(BA90&gt;10,BA90&lt;=20),'BU FACILITIES'!$G$19,"")))</f>
        <v/>
      </c>
      <c r="BC90" s="187"/>
      <c r="BD90" s="195" t="str">
        <f>IF(AND(AZ90="Modificar ductería de AA",BC90=1), 'BU FACILITIES'!$G$20, "")</f>
        <v/>
      </c>
    </row>
    <row r="91" spans="1:56" s="3" customFormat="1" ht="12.75" hidden="1" x14ac:dyDescent="0.2">
      <c r="A91" s="37" t="s">
        <v>90</v>
      </c>
      <c r="B91" s="38" t="s">
        <v>25</v>
      </c>
      <c r="C91" s="38" t="s">
        <v>26</v>
      </c>
      <c r="D91" s="38" t="s">
        <v>91</v>
      </c>
      <c r="E91" s="38" t="s">
        <v>92</v>
      </c>
      <c r="F91" s="38">
        <v>2023</v>
      </c>
      <c r="G91" s="23" t="s">
        <v>60</v>
      </c>
      <c r="H91" s="23" t="s">
        <v>53</v>
      </c>
      <c r="I91" s="27" t="s">
        <v>31</v>
      </c>
      <c r="J91" s="38" t="s">
        <v>32</v>
      </c>
      <c r="K91" s="23">
        <v>2</v>
      </c>
      <c r="L91" s="23">
        <v>10</v>
      </c>
      <c r="M91" s="23">
        <v>475</v>
      </c>
      <c r="N91" s="134">
        <v>4750</v>
      </c>
      <c r="O91" s="23" t="s">
        <v>31</v>
      </c>
      <c r="P91" s="23">
        <f t="shared" si="2"/>
        <v>4750</v>
      </c>
      <c r="Q91" s="217">
        <f t="shared" si="3"/>
        <v>1</v>
      </c>
      <c r="R91" s="126" t="e">
        <f>VLOOKUP(G91,#REF!,11,0)*Q91</f>
        <v>#REF!</v>
      </c>
      <c r="S91" s="38" t="s">
        <v>33</v>
      </c>
      <c r="T91" s="38">
        <v>1620.75</v>
      </c>
      <c r="U91" s="38">
        <v>4</v>
      </c>
      <c r="V91" s="23" t="s">
        <v>31</v>
      </c>
      <c r="W91" s="23" t="s">
        <v>31</v>
      </c>
      <c r="X91" s="38" t="s">
        <v>93</v>
      </c>
      <c r="Y91" s="38">
        <v>3</v>
      </c>
      <c r="Z91" s="38" t="s">
        <v>94</v>
      </c>
      <c r="AA91" s="38" t="s">
        <v>31</v>
      </c>
      <c r="AB91" s="38" t="s">
        <v>95</v>
      </c>
      <c r="AC91" s="187" t="s">
        <v>537</v>
      </c>
      <c r="AD91" s="187">
        <v>3</v>
      </c>
      <c r="AE91" s="187" t="s">
        <v>402</v>
      </c>
      <c r="AF91" s="187"/>
      <c r="AG91" s="187"/>
      <c r="AH91" s="123" t="str">
        <f>IF(AG91=1,'BU FACILITIES'!$G$24,"")</f>
        <v/>
      </c>
      <c r="AI91" s="187"/>
      <c r="AJ91" s="196"/>
      <c r="AK91" s="120">
        <f>AJ91*'BU FACILITIES'!$G$21</f>
        <v>0</v>
      </c>
      <c r="AL91" s="196">
        <v>1</v>
      </c>
      <c r="AM91" s="121">
        <f>PRODUCT( AL91,'BU FACILITIES'!$G$22)</f>
        <v>870.73170731707319</v>
      </c>
      <c r="AN91" s="187"/>
      <c r="AO91" s="187"/>
      <c r="AP91" s="125" t="str">
        <f>IF(AO91=1,'BU FACILITIES'!$G$23,"")</f>
        <v/>
      </c>
      <c r="AQ91" s="187">
        <v>0</v>
      </c>
      <c r="AR91" s="187">
        <v>0</v>
      </c>
      <c r="AS91" s="122" t="str">
        <f>IF(AR91=300,AQ91*'BU FACILITIES'!$G$4, IF(AND(AR91&gt;300,AR91&lt;=500), AQ91*'BU FACILITIES'!$G$5, IF(AND(AR91&gt;500,AR91&lt;=1250), AQ91*'BU FACILITIES'!$G$6, IF(AND(AR91&gt;1250,AR91&lt;=2000),AQ91*'BU FACILITIES'!$G$7, ""))))</f>
        <v/>
      </c>
      <c r="AT91" s="187">
        <v>0</v>
      </c>
      <c r="AU91" s="187">
        <v>0</v>
      </c>
      <c r="AV91" s="122" t="str">
        <f>IF(AU91=100,AT91*'BU FACILITIES'!$G$8, IF(AND(AU91&gt;100,AU91&lt;=500), AT91*'BU FACILITIES'!$G$9, IF(AND(AU91&gt;500,AU91&lt;=800), AT91*'BU FACILITIES'!$G$10, IF(AND(AU91&gt;800,AU91&lt;=1000),AT91*'BU FACILITIES'!$G$11, IF(AND(AU91&gt;1000,AU91&lt;=1400),AT91*'BU FACILITIES'!$G$12, IF(AND(AU91&gt;1400,AU91&lt;=2000),AT91*'BU FACILITIES'!$G$13,""))))))</f>
        <v/>
      </c>
      <c r="AW91" s="187"/>
      <c r="AX91" s="187"/>
      <c r="AY91" s="122" t="str">
        <f>IF(AX91=30,AW91*'BU FACILITIES'!$G$14, IF(AX91=45, AW91*'BU FACILITIES'!$G$15, IF(AX91=450, AW91*'BU FACILITIES'!$G$16, "")))</f>
        <v/>
      </c>
      <c r="AZ91" s="187">
        <v>0</v>
      </c>
      <c r="BA91" s="187">
        <v>0</v>
      </c>
      <c r="BB91" s="187" t="str">
        <f>IF(AND(BA91&gt;=1,BA91&lt;=5),'BU FACILITIES'!$G$17, IF(AND(BA91&gt;5, BA91&lt;=10), 'BU FACILITIES'!$G$18, IF(AND(BA91&gt;10,BA91&lt;=20),'BU FACILITIES'!$G$19,"")))</f>
        <v/>
      </c>
      <c r="BC91" s="187"/>
      <c r="BD91" s="195" t="str">
        <f>IF(AND(AZ91="Modificar ductería de AA",BC91=1), 'BU FACILITIES'!$G$20, "")</f>
        <v/>
      </c>
    </row>
    <row r="92" spans="1:56" s="3" customFormat="1" ht="12.75" hidden="1" x14ac:dyDescent="0.2">
      <c r="A92" s="37" t="s">
        <v>90</v>
      </c>
      <c r="B92" s="38" t="s">
        <v>25</v>
      </c>
      <c r="C92" s="38" t="s">
        <v>26</v>
      </c>
      <c r="D92" s="38" t="s">
        <v>91</v>
      </c>
      <c r="E92" s="38" t="s">
        <v>92</v>
      </c>
      <c r="F92" s="38">
        <v>2023</v>
      </c>
      <c r="G92" s="31" t="s">
        <v>255</v>
      </c>
      <c r="H92" s="23" t="s">
        <v>53</v>
      </c>
      <c r="I92" s="27" t="s">
        <v>31</v>
      </c>
      <c r="J92" s="38" t="s">
        <v>32</v>
      </c>
      <c r="K92" s="23">
        <v>2</v>
      </c>
      <c r="L92" s="23">
        <v>8</v>
      </c>
      <c r="M92" s="23">
        <v>475</v>
      </c>
      <c r="N92" s="134">
        <v>3800</v>
      </c>
      <c r="O92" s="23" t="s">
        <v>31</v>
      </c>
      <c r="P92" s="23">
        <f t="shared" ref="P92:P123" si="4">SUMIF($G$3:$G$292,G92,$N$3:$N$292)</f>
        <v>4400</v>
      </c>
      <c r="Q92" s="217">
        <f t="shared" si="3"/>
        <v>0.86363636363636365</v>
      </c>
      <c r="R92" s="126" t="e">
        <f>VLOOKUP(G92,#REF!,11,0)*Q92</f>
        <v>#REF!</v>
      </c>
      <c r="S92" s="38" t="s">
        <v>33</v>
      </c>
      <c r="T92" s="38">
        <v>1620.75</v>
      </c>
      <c r="U92" s="38">
        <v>4</v>
      </c>
      <c r="V92" s="23" t="s">
        <v>31</v>
      </c>
      <c r="W92" s="23" t="s">
        <v>31</v>
      </c>
      <c r="X92" s="38" t="s">
        <v>93</v>
      </c>
      <c r="Y92" s="38">
        <v>3</v>
      </c>
      <c r="Z92" s="38" t="s">
        <v>94</v>
      </c>
      <c r="AA92" s="38" t="s">
        <v>31</v>
      </c>
      <c r="AB92" s="38" t="s">
        <v>95</v>
      </c>
      <c r="AC92" s="187" t="s">
        <v>538</v>
      </c>
      <c r="AD92" s="187">
        <v>2</v>
      </c>
      <c r="AE92" s="187" t="s">
        <v>402</v>
      </c>
      <c r="AF92" s="187"/>
      <c r="AG92" s="187"/>
      <c r="AH92" s="123" t="str">
        <f>IF(AG92=1,'BU FACILITIES'!$G$24,"")</f>
        <v/>
      </c>
      <c r="AI92" s="187" t="s">
        <v>539</v>
      </c>
      <c r="AJ92" s="196"/>
      <c r="AK92" s="120">
        <f>AJ92*'BU FACILITIES'!$G$21</f>
        <v>0</v>
      </c>
      <c r="AL92" s="196">
        <v>1</v>
      </c>
      <c r="AM92" s="121">
        <f>PRODUCT( AL92,'BU FACILITIES'!$G$22)</f>
        <v>870.73170731707319</v>
      </c>
      <c r="AN92" s="187"/>
      <c r="AO92" s="187"/>
      <c r="AP92" s="125" t="str">
        <f>IF(AO92=1,'BU FACILITIES'!$G$23,"")</f>
        <v/>
      </c>
      <c r="AQ92" s="187">
        <v>0</v>
      </c>
      <c r="AR92" s="187">
        <v>0</v>
      </c>
      <c r="AS92" s="122" t="str">
        <f>IF(AR92=300,AQ92*'BU FACILITIES'!$G$4, IF(AND(AR92&gt;300,AR92&lt;=500), AQ92*'BU FACILITIES'!$G$5, IF(AND(AR92&gt;500,AR92&lt;=1250), AQ92*'BU FACILITIES'!$G$6, IF(AND(AR92&gt;1250,AR92&lt;=2000),AQ92*'BU FACILITIES'!$G$7, ""))))</f>
        <v/>
      </c>
      <c r="AT92" s="187">
        <v>0</v>
      </c>
      <c r="AU92" s="187">
        <v>0</v>
      </c>
      <c r="AV92" s="122" t="str">
        <f>IF(AU92=100,AT92*'BU FACILITIES'!$G$8, IF(AND(AU92&gt;100,AU92&lt;=500), AT92*'BU FACILITIES'!$G$9, IF(AND(AU92&gt;500,AU92&lt;=800), AT92*'BU FACILITIES'!$G$10, IF(AND(AU92&gt;800,AU92&lt;=1000),AT92*'BU FACILITIES'!$G$11, IF(AND(AU92&gt;1000,AU92&lt;=1400),AT92*'BU FACILITIES'!$G$12, IF(AND(AU92&gt;1400,AU92&lt;=2000),AT92*'BU FACILITIES'!$G$13,""))))))</f>
        <v/>
      </c>
      <c r="AW92" s="187">
        <v>0</v>
      </c>
      <c r="AX92" s="187">
        <v>0</v>
      </c>
      <c r="AY92" s="122" t="str">
        <f>IF(AX92=30,AW92*'BU FACILITIES'!$G$14, IF(AX92=45, AW92*'BU FACILITIES'!$G$15, IF(AX92=450, AW92*'BU FACILITIES'!$G$16, "")))</f>
        <v/>
      </c>
      <c r="AZ92" s="187">
        <v>0</v>
      </c>
      <c r="BA92" s="187">
        <v>0</v>
      </c>
      <c r="BB92" s="187" t="str">
        <f>IF(AND(BA92&gt;=1,BA92&lt;=5),'BU FACILITIES'!$G$17, IF(AND(BA92&gt;5, BA92&lt;=10), 'BU FACILITIES'!$G$18, IF(AND(BA92&gt;10,BA92&lt;=20),'BU FACILITIES'!$G$19,"")))</f>
        <v/>
      </c>
      <c r="BC92" s="187"/>
      <c r="BD92" s="195" t="str">
        <f>IF(AND(AZ92="Modificar ductería de AA",BC92=1), 'BU FACILITIES'!$G$20, "")</f>
        <v/>
      </c>
    </row>
    <row r="93" spans="1:56" s="3" customFormat="1" ht="12.75" hidden="1" x14ac:dyDescent="0.2">
      <c r="A93" s="37" t="s">
        <v>90</v>
      </c>
      <c r="B93" s="38" t="s">
        <v>25</v>
      </c>
      <c r="C93" s="38" t="s">
        <v>26</v>
      </c>
      <c r="D93" s="38" t="s">
        <v>91</v>
      </c>
      <c r="E93" s="38" t="s">
        <v>92</v>
      </c>
      <c r="F93" s="38">
        <v>2023</v>
      </c>
      <c r="G93" s="23" t="s">
        <v>156</v>
      </c>
      <c r="H93" s="23" t="s">
        <v>157</v>
      </c>
      <c r="I93" s="23" t="s">
        <v>31</v>
      </c>
      <c r="J93" s="38" t="s">
        <v>32</v>
      </c>
      <c r="K93" s="23">
        <v>1</v>
      </c>
      <c r="L93" s="23">
        <v>6</v>
      </c>
      <c r="M93" s="23">
        <v>475</v>
      </c>
      <c r="N93" s="134">
        <v>2850</v>
      </c>
      <c r="O93" s="23" t="s">
        <v>31</v>
      </c>
      <c r="P93" s="23">
        <f t="shared" si="4"/>
        <v>2850</v>
      </c>
      <c r="Q93" s="217">
        <f t="shared" si="3"/>
        <v>1</v>
      </c>
      <c r="R93" s="126" t="e">
        <f>VLOOKUP(G93,#REF!,11,0)*Q93</f>
        <v>#REF!</v>
      </c>
      <c r="S93" s="38" t="s">
        <v>33</v>
      </c>
      <c r="T93" s="38">
        <v>1620.75</v>
      </c>
      <c r="U93" s="38">
        <v>2</v>
      </c>
      <c r="V93" s="23" t="s">
        <v>31</v>
      </c>
      <c r="W93" s="23" t="s">
        <v>31</v>
      </c>
      <c r="X93" s="38" t="s">
        <v>93</v>
      </c>
      <c r="Y93" s="38">
        <v>1.5</v>
      </c>
      <c r="Z93" s="38" t="s">
        <v>94</v>
      </c>
      <c r="AA93" s="38" t="s">
        <v>31</v>
      </c>
      <c r="AB93" s="38" t="s">
        <v>95</v>
      </c>
      <c r="AC93" s="187" t="s">
        <v>540</v>
      </c>
      <c r="AD93" s="187">
        <v>4</v>
      </c>
      <c r="AE93" s="187" t="s">
        <v>541</v>
      </c>
      <c r="AF93" s="187"/>
      <c r="AG93" s="187"/>
      <c r="AH93" s="123" t="str">
        <f>IF(AG93=1,'BU FACILITIES'!$G$24,"")</f>
        <v/>
      </c>
      <c r="AI93" s="187" t="s">
        <v>452</v>
      </c>
      <c r="AJ93" s="196"/>
      <c r="AK93" s="120">
        <f>AJ93*'BU FACILITIES'!$G$21</f>
        <v>0</v>
      </c>
      <c r="AL93" s="196">
        <v>1</v>
      </c>
      <c r="AM93" s="121">
        <f>PRODUCT( AL93,'BU FACILITIES'!$G$22)</f>
        <v>870.73170731707319</v>
      </c>
      <c r="AN93" s="187"/>
      <c r="AO93" s="187"/>
      <c r="AP93" s="125" t="str">
        <f>IF(AO93=1,'BU FACILITIES'!$G$23,"")</f>
        <v/>
      </c>
      <c r="AQ93" s="187"/>
      <c r="AR93" s="187"/>
      <c r="AS93" s="122" t="str">
        <f>IF(AR93=300,AQ93*'BU FACILITIES'!$G$4, IF(AND(AR93&gt;300,AR93&lt;=500), AQ93*'BU FACILITIES'!$G$5, IF(AND(AR93&gt;500,AR93&lt;=1250), AQ93*'BU FACILITIES'!$G$6, IF(AND(AR93&gt;1250,AR93&lt;=2000),AQ93*'BU FACILITIES'!$G$7, ""))))</f>
        <v/>
      </c>
      <c r="AT93" s="187"/>
      <c r="AU93" s="187"/>
      <c r="AV93" s="122" t="str">
        <f>IF(AU93=100,AT93*'BU FACILITIES'!$G$8, IF(AND(AU93&gt;100,AU93&lt;=500), AT93*'BU FACILITIES'!$G$9, IF(AND(AU93&gt;500,AU93&lt;=800), AT93*'BU FACILITIES'!$G$10, IF(AND(AU93&gt;800,AU93&lt;=1000),AT93*'BU FACILITIES'!$G$11, IF(AND(AU93&gt;1000,AU93&lt;=1400),AT93*'BU FACILITIES'!$G$12, IF(AND(AU93&gt;1400,AU93&lt;=2000),AT93*'BU FACILITIES'!$G$13,""))))))</f>
        <v/>
      </c>
      <c r="AW93" s="187"/>
      <c r="AX93" s="187"/>
      <c r="AY93" s="122" t="str">
        <f>IF(AX93=30,AW93*'BU FACILITIES'!$G$14, IF(AX93=45, AW93*'BU FACILITIES'!$G$15, IF(AX93=450, AW93*'BU FACILITIES'!$G$16, "")))</f>
        <v/>
      </c>
      <c r="AZ93" s="187"/>
      <c r="BA93" s="187"/>
      <c r="BB93" s="187" t="str">
        <f>IF(AND(BA93&gt;=1,BA93&lt;=5),'BU FACILITIES'!$G$17, IF(AND(BA93&gt;5, BA93&lt;=10), 'BU FACILITIES'!$G$18, IF(AND(BA93&gt;10,BA93&lt;=20),'BU FACILITIES'!$G$19,"")))</f>
        <v/>
      </c>
      <c r="BC93" s="187"/>
      <c r="BD93" s="195" t="str">
        <f>IF(AND(AZ93="Modificar ductería de AA",BC93=1), 'BU FACILITIES'!$G$20, "")</f>
        <v/>
      </c>
    </row>
    <row r="94" spans="1:56" s="3" customFormat="1" ht="12.75" hidden="1" x14ac:dyDescent="0.2">
      <c r="A94" s="37" t="s">
        <v>90</v>
      </c>
      <c r="B94" s="38" t="s">
        <v>25</v>
      </c>
      <c r="C94" s="38" t="s">
        <v>26</v>
      </c>
      <c r="D94" s="38" t="s">
        <v>91</v>
      </c>
      <c r="E94" s="38" t="s">
        <v>92</v>
      </c>
      <c r="F94" s="38">
        <v>2023</v>
      </c>
      <c r="G94" s="23" t="s">
        <v>158</v>
      </c>
      <c r="H94" s="23" t="s">
        <v>159</v>
      </c>
      <c r="I94" s="23" t="s">
        <v>31</v>
      </c>
      <c r="J94" s="38" t="s">
        <v>32</v>
      </c>
      <c r="K94" s="23">
        <v>1</v>
      </c>
      <c r="L94" s="23">
        <v>6</v>
      </c>
      <c r="M94" s="23">
        <v>475</v>
      </c>
      <c r="N94" s="134">
        <v>2850</v>
      </c>
      <c r="O94" s="23" t="s">
        <v>31</v>
      </c>
      <c r="P94" s="23">
        <f t="shared" si="4"/>
        <v>2850</v>
      </c>
      <c r="Q94" s="217">
        <f t="shared" si="3"/>
        <v>1</v>
      </c>
      <c r="R94" s="223" t="e">
        <f>VLOOKUP(G94,#REF!,11,0)*Q94</f>
        <v>#REF!</v>
      </c>
      <c r="S94" s="38" t="s">
        <v>33</v>
      </c>
      <c r="T94" s="38">
        <v>1620.75</v>
      </c>
      <c r="U94" s="38">
        <v>2</v>
      </c>
      <c r="V94" s="23" t="s">
        <v>31</v>
      </c>
      <c r="W94" s="23" t="s">
        <v>31</v>
      </c>
      <c r="X94" s="38" t="s">
        <v>93</v>
      </c>
      <c r="Y94" s="38">
        <v>1.5</v>
      </c>
      <c r="Z94" s="38" t="s">
        <v>94</v>
      </c>
      <c r="AA94" s="38" t="s">
        <v>31</v>
      </c>
      <c r="AB94" s="38" t="s">
        <v>95</v>
      </c>
      <c r="AC94" s="187" t="s">
        <v>542</v>
      </c>
      <c r="AD94" s="187">
        <v>3</v>
      </c>
      <c r="AE94" s="187" t="s">
        <v>402</v>
      </c>
      <c r="AF94" s="187"/>
      <c r="AG94" s="187"/>
      <c r="AH94" s="123" t="str">
        <f>IF(AG94=1,'BU FACILITIES'!$G$24,"")</f>
        <v/>
      </c>
      <c r="AI94" s="187" t="s">
        <v>543</v>
      </c>
      <c r="AJ94" s="196">
        <v>1</v>
      </c>
      <c r="AK94" s="120">
        <f>AJ94*'BU FACILITIES'!$G$21</f>
        <v>1714.6341463414635</v>
      </c>
      <c r="AL94" s="196">
        <v>1</v>
      </c>
      <c r="AM94" s="121">
        <f>PRODUCT( AL94,'BU FACILITIES'!$G$22)</f>
        <v>870.73170731707319</v>
      </c>
      <c r="AN94" s="187"/>
      <c r="AO94" s="187"/>
      <c r="AP94" s="125" t="str">
        <f>IF(AO94=1,'BU FACILITIES'!$G$23,"")</f>
        <v/>
      </c>
      <c r="AQ94" s="187">
        <v>0</v>
      </c>
      <c r="AR94" s="187">
        <v>0</v>
      </c>
      <c r="AS94" s="122" t="str">
        <f>IF(AR94=300,AQ94*'BU FACILITIES'!$G$4, IF(AND(AR94&gt;300,AR94&lt;=500), AQ94*'BU FACILITIES'!$G$5, IF(AND(AR94&gt;500,AR94&lt;=1250), AQ94*'BU FACILITIES'!$G$6, IF(AND(AR94&gt;1250,AR94&lt;=2000),AQ94*'BU FACILITIES'!$G$7, ""))))</f>
        <v/>
      </c>
      <c r="AT94" s="187">
        <v>0</v>
      </c>
      <c r="AU94" s="187">
        <v>0</v>
      </c>
      <c r="AV94" s="122" t="str">
        <f>IF(AU94=100,AT94*'BU FACILITIES'!$G$8, IF(AND(AU94&gt;100,AU94&lt;=500), AT94*'BU FACILITIES'!$G$9, IF(AND(AU94&gt;500,AU94&lt;=800), AT94*'BU FACILITIES'!$G$10, IF(AND(AU94&gt;800,AU94&lt;=1000),AT94*'BU FACILITIES'!$G$11, IF(AND(AU94&gt;1000,AU94&lt;=1400),AT94*'BU FACILITIES'!$G$12, IF(AND(AU94&gt;1400,AU94&lt;=2000),AT94*'BU FACILITIES'!$G$13,""))))))</f>
        <v/>
      </c>
      <c r="AW94" s="187">
        <v>0</v>
      </c>
      <c r="AX94" s="187">
        <v>0</v>
      </c>
      <c r="AY94" s="122" t="str">
        <f>IF(AX94=30,AW94*'BU FACILITIES'!$G$14, IF(AX94=45, AW94*'BU FACILITIES'!$G$15, IF(AX94=450, AW94*'BU FACILITIES'!$G$16, "")))</f>
        <v/>
      </c>
      <c r="AZ94" s="187">
        <v>0</v>
      </c>
      <c r="BA94" s="187">
        <v>0</v>
      </c>
      <c r="BB94" s="187" t="str">
        <f>IF(AND(BA94&gt;=1,BA94&lt;=5),'BU FACILITIES'!$G$17, IF(AND(BA94&gt;5, BA94&lt;=10), 'BU FACILITIES'!$G$18, IF(AND(BA94&gt;10,BA94&lt;=20),'BU FACILITIES'!$G$19,"")))</f>
        <v/>
      </c>
      <c r="BC94" s="187"/>
      <c r="BD94" s="195" t="str">
        <f>IF(AND(AZ94="Modificar ductería de AA",BC94=1), 'BU FACILITIES'!$G$20, "")</f>
        <v/>
      </c>
    </row>
    <row r="95" spans="1:56" s="3" customFormat="1" ht="12.75" hidden="1" x14ac:dyDescent="0.2">
      <c r="A95" s="37" t="s">
        <v>90</v>
      </c>
      <c r="B95" s="38" t="s">
        <v>25</v>
      </c>
      <c r="C95" s="38" t="s">
        <v>26</v>
      </c>
      <c r="D95" s="38" t="s">
        <v>91</v>
      </c>
      <c r="E95" s="38" t="s">
        <v>92</v>
      </c>
      <c r="F95" s="38">
        <v>2023</v>
      </c>
      <c r="G95" s="23" t="s">
        <v>160</v>
      </c>
      <c r="H95" s="23" t="s">
        <v>161</v>
      </c>
      <c r="I95" s="27" t="s">
        <v>31</v>
      </c>
      <c r="J95" s="38" t="s">
        <v>32</v>
      </c>
      <c r="K95" s="23">
        <v>1</v>
      </c>
      <c r="L95" s="23">
        <v>6</v>
      </c>
      <c r="M95" s="23">
        <v>475</v>
      </c>
      <c r="N95" s="134">
        <v>2850</v>
      </c>
      <c r="O95" s="23" t="s">
        <v>31</v>
      </c>
      <c r="P95" s="23">
        <f t="shared" si="4"/>
        <v>2850</v>
      </c>
      <c r="Q95" s="217">
        <f t="shared" si="3"/>
        <v>1</v>
      </c>
      <c r="R95" s="126" t="e">
        <f>VLOOKUP(G95,#REF!,11,0)*Q95</f>
        <v>#REF!</v>
      </c>
      <c r="S95" s="38" t="s">
        <v>33</v>
      </c>
      <c r="T95" s="38">
        <v>1620.75</v>
      </c>
      <c r="U95" s="38">
        <v>2</v>
      </c>
      <c r="V95" s="23" t="s">
        <v>31</v>
      </c>
      <c r="W95" s="23" t="s">
        <v>31</v>
      </c>
      <c r="X95" s="38" t="s">
        <v>93</v>
      </c>
      <c r="Y95" s="38">
        <v>1.5</v>
      </c>
      <c r="Z95" s="38" t="s">
        <v>94</v>
      </c>
      <c r="AA95" s="38" t="s">
        <v>31</v>
      </c>
      <c r="AB95" s="38" t="s">
        <v>95</v>
      </c>
      <c r="AC95" s="187" t="s">
        <v>544</v>
      </c>
      <c r="AD95" s="187">
        <v>4</v>
      </c>
      <c r="AE95" s="187" t="s">
        <v>402</v>
      </c>
      <c r="AF95" s="187">
        <v>0</v>
      </c>
      <c r="AG95" s="187"/>
      <c r="AH95" s="123" t="str">
        <f>IF(AG95=1,'BU FACILITIES'!$G$24,"")</f>
        <v/>
      </c>
      <c r="AI95" s="187" t="s">
        <v>545</v>
      </c>
      <c r="AJ95" s="196">
        <v>1</v>
      </c>
      <c r="AK95" s="120">
        <f>AJ95*'BU FACILITIES'!$G$21</f>
        <v>1714.6341463414635</v>
      </c>
      <c r="AL95" s="196">
        <v>1</v>
      </c>
      <c r="AM95" s="121">
        <f>PRODUCT( AL95,'BU FACILITIES'!$G$22)</f>
        <v>870.73170731707319</v>
      </c>
      <c r="AN95" s="187">
        <v>0</v>
      </c>
      <c r="AO95" s="187"/>
      <c r="AP95" s="125" t="str">
        <f>IF(AO95=1,'BU FACILITIES'!$G$23,"")</f>
        <v/>
      </c>
      <c r="AQ95" s="187">
        <v>0</v>
      </c>
      <c r="AR95" s="187">
        <v>0</v>
      </c>
      <c r="AS95" s="122" t="str">
        <f>IF(AR95=300,AQ95*'BU FACILITIES'!$G$4, IF(AND(AR95&gt;300,AR95&lt;=500), AQ95*'BU FACILITIES'!$G$5, IF(AND(AR95&gt;500,AR95&lt;=1250), AQ95*'BU FACILITIES'!$G$6, IF(AND(AR95&gt;1250,AR95&lt;=2000),AQ95*'BU FACILITIES'!$G$7, ""))))</f>
        <v/>
      </c>
      <c r="AT95" s="187">
        <v>0</v>
      </c>
      <c r="AU95" s="187">
        <v>0</v>
      </c>
      <c r="AV95" s="122" t="str">
        <f>IF(AU95=100,AT95*'BU FACILITIES'!$G$8, IF(AND(AU95&gt;100,AU95&lt;=500), AT95*'BU FACILITIES'!$G$9, IF(AND(AU95&gt;500,AU95&lt;=800), AT95*'BU FACILITIES'!$G$10, IF(AND(AU95&gt;800,AU95&lt;=1000),AT95*'BU FACILITIES'!$G$11, IF(AND(AU95&gt;1000,AU95&lt;=1400),AT95*'BU FACILITIES'!$G$12, IF(AND(AU95&gt;1400,AU95&lt;=2000),AT95*'BU FACILITIES'!$G$13,""))))))</f>
        <v/>
      </c>
      <c r="AW95" s="187">
        <v>0</v>
      </c>
      <c r="AX95" s="187">
        <v>0</v>
      </c>
      <c r="AY95" s="122" t="str">
        <f>IF(AX95=30,AW95*'BU FACILITIES'!$G$14, IF(AX95=45, AW95*'BU FACILITIES'!$G$15, IF(AX95=450, AW95*'BU FACILITIES'!$G$16, "")))</f>
        <v/>
      </c>
      <c r="AZ95" s="187">
        <v>0</v>
      </c>
      <c r="BA95" s="187">
        <v>0</v>
      </c>
      <c r="BB95" s="187" t="str">
        <f>IF(AND(BA95&gt;=1,BA95&lt;=5),'BU FACILITIES'!$G$17, IF(AND(BA95&gt;5, BA95&lt;=10), 'BU FACILITIES'!$G$18, IF(AND(BA95&gt;10,BA95&lt;=20),'BU FACILITIES'!$G$19,"")))</f>
        <v/>
      </c>
      <c r="BC95" s="187"/>
      <c r="BD95" s="195" t="str">
        <f>IF(AND(AZ95="Modificar ductería de AA",BC95=1), 'BU FACILITIES'!$G$20, "")</f>
        <v/>
      </c>
    </row>
    <row r="96" spans="1:56" s="3" customFormat="1" ht="12.75" hidden="1" x14ac:dyDescent="0.2">
      <c r="A96" s="37" t="s">
        <v>90</v>
      </c>
      <c r="B96" s="38" t="s">
        <v>25</v>
      </c>
      <c r="C96" s="38" t="s">
        <v>26</v>
      </c>
      <c r="D96" s="38" t="s">
        <v>91</v>
      </c>
      <c r="E96" s="38" t="s">
        <v>92</v>
      </c>
      <c r="F96" s="38">
        <v>2023</v>
      </c>
      <c r="G96" s="23" t="s">
        <v>162</v>
      </c>
      <c r="H96" s="23" t="s">
        <v>163</v>
      </c>
      <c r="I96" s="27" t="s">
        <v>31</v>
      </c>
      <c r="J96" s="38" t="s">
        <v>32</v>
      </c>
      <c r="K96" s="23">
        <v>1</v>
      </c>
      <c r="L96" s="23">
        <v>6</v>
      </c>
      <c r="M96" s="23">
        <v>475</v>
      </c>
      <c r="N96" s="134">
        <v>2850</v>
      </c>
      <c r="O96" s="23" t="s">
        <v>31</v>
      </c>
      <c r="P96" s="23">
        <f t="shared" si="4"/>
        <v>2850</v>
      </c>
      <c r="Q96" s="217">
        <f t="shared" si="3"/>
        <v>1</v>
      </c>
      <c r="R96" s="126" t="e">
        <f>VLOOKUP(G96,#REF!,11,0)*Q96</f>
        <v>#REF!</v>
      </c>
      <c r="S96" s="38" t="s">
        <v>33</v>
      </c>
      <c r="T96" s="38">
        <v>1620.75</v>
      </c>
      <c r="U96" s="38">
        <v>2</v>
      </c>
      <c r="V96" s="23" t="s">
        <v>31</v>
      </c>
      <c r="W96" s="23" t="s">
        <v>31</v>
      </c>
      <c r="X96" s="38" t="s">
        <v>93</v>
      </c>
      <c r="Y96" s="38">
        <v>1.5</v>
      </c>
      <c r="Z96" s="38" t="s">
        <v>94</v>
      </c>
      <c r="AA96" s="38" t="s">
        <v>31</v>
      </c>
      <c r="AB96" s="38" t="s">
        <v>95</v>
      </c>
      <c r="AC96" s="187" t="s">
        <v>546</v>
      </c>
      <c r="AD96" s="187">
        <v>4</v>
      </c>
      <c r="AE96" s="187" t="s">
        <v>402</v>
      </c>
      <c r="AF96" s="187"/>
      <c r="AG96" s="187"/>
      <c r="AH96" s="123" t="str">
        <f>IF(AG96=1,'BU FACILITIES'!$G$24,"")</f>
        <v/>
      </c>
      <c r="AI96" s="187" t="s">
        <v>547</v>
      </c>
      <c r="AJ96" s="196">
        <v>1</v>
      </c>
      <c r="AK96" s="120">
        <f>AJ96*'BU FACILITIES'!$G$21</f>
        <v>1714.6341463414635</v>
      </c>
      <c r="AL96" s="196">
        <v>1</v>
      </c>
      <c r="AM96" s="121">
        <f>PRODUCT( AL96,'BU FACILITIES'!$G$22)</f>
        <v>870.73170731707319</v>
      </c>
      <c r="AN96" s="187">
        <v>0</v>
      </c>
      <c r="AO96" s="187"/>
      <c r="AP96" s="125" t="str">
        <f>IF(AO96=1,'BU FACILITIES'!$G$23,"")</f>
        <v/>
      </c>
      <c r="AQ96" s="187">
        <v>0</v>
      </c>
      <c r="AR96" s="187">
        <v>0</v>
      </c>
      <c r="AS96" s="122" t="str">
        <f>IF(AR96=300,AQ96*'BU FACILITIES'!$G$4, IF(AND(AR96&gt;300,AR96&lt;=500), AQ96*'BU FACILITIES'!$G$5, IF(AND(AR96&gt;500,AR96&lt;=1250), AQ96*'BU FACILITIES'!$G$6, IF(AND(AR96&gt;1250,AR96&lt;=2000),AQ96*'BU FACILITIES'!$G$7, ""))))</f>
        <v/>
      </c>
      <c r="AT96" s="187">
        <v>0</v>
      </c>
      <c r="AU96" s="187">
        <v>0</v>
      </c>
      <c r="AV96" s="122" t="str">
        <f>IF(AU96=100,AT96*'BU FACILITIES'!$G$8, IF(AND(AU96&gt;100,AU96&lt;=500), AT96*'BU FACILITIES'!$G$9, IF(AND(AU96&gt;500,AU96&lt;=800), AT96*'BU FACILITIES'!$G$10, IF(AND(AU96&gt;800,AU96&lt;=1000),AT96*'BU FACILITIES'!$G$11, IF(AND(AU96&gt;1000,AU96&lt;=1400),AT96*'BU FACILITIES'!$G$12, IF(AND(AU96&gt;1400,AU96&lt;=2000),AT96*'BU FACILITIES'!$G$13,""))))))</f>
        <v/>
      </c>
      <c r="AW96" s="187">
        <v>0</v>
      </c>
      <c r="AX96" s="187">
        <v>0</v>
      </c>
      <c r="AY96" s="122" t="str">
        <f>IF(AX96=30,AW96*'BU FACILITIES'!$G$14, IF(AX96=45, AW96*'BU FACILITIES'!$G$15, IF(AX96=450, AW96*'BU FACILITIES'!$G$16, "")))</f>
        <v/>
      </c>
      <c r="AZ96" s="187">
        <v>0</v>
      </c>
      <c r="BA96" s="187">
        <v>0</v>
      </c>
      <c r="BB96" s="187" t="str">
        <f>IF(AND(BA96&gt;=1,BA96&lt;=5),'BU FACILITIES'!$G$17, IF(AND(BA96&gt;5, BA96&lt;=10), 'BU FACILITIES'!$G$18, IF(AND(BA96&gt;10,BA96&lt;=20),'BU FACILITIES'!$G$19,"")))</f>
        <v/>
      </c>
      <c r="BC96" s="187"/>
      <c r="BD96" s="195" t="str">
        <f>IF(AND(AZ96="Modificar ductería de AA",BC96=1), 'BU FACILITIES'!$G$20, "")</f>
        <v/>
      </c>
    </row>
    <row r="97" spans="1:56" s="3" customFormat="1" ht="12.75" hidden="1" x14ac:dyDescent="0.2">
      <c r="A97" s="24" t="s">
        <v>241</v>
      </c>
      <c r="B97" s="23" t="s">
        <v>242</v>
      </c>
      <c r="C97" s="23" t="s">
        <v>243</v>
      </c>
      <c r="D97" s="38" t="s">
        <v>352</v>
      </c>
      <c r="E97" s="23" t="s">
        <v>245</v>
      </c>
      <c r="F97" s="23">
        <v>2023</v>
      </c>
      <c r="G97" s="23" t="s">
        <v>80</v>
      </c>
      <c r="H97" s="23" t="s">
        <v>66</v>
      </c>
      <c r="I97" s="23" t="s">
        <v>457</v>
      </c>
      <c r="J97" s="23" t="s">
        <v>246</v>
      </c>
      <c r="K97" s="23">
        <v>0</v>
      </c>
      <c r="L97" s="23">
        <v>0</v>
      </c>
      <c r="M97" s="23">
        <v>400</v>
      </c>
      <c r="N97" s="151">
        <f>600+400</f>
        <v>1000</v>
      </c>
      <c r="O97" s="23" t="s">
        <v>31</v>
      </c>
      <c r="P97" s="23">
        <f t="shared" si="4"/>
        <v>7650</v>
      </c>
      <c r="Q97" s="217">
        <f t="shared" si="3"/>
        <v>0.13071895424836602</v>
      </c>
      <c r="R97" s="126" t="e">
        <f>VLOOKUP(G97,#REF!,11,0)*Q97</f>
        <v>#REF!</v>
      </c>
      <c r="S97" s="23" t="s">
        <v>247</v>
      </c>
      <c r="T97" s="23" t="s">
        <v>248</v>
      </c>
      <c r="U97" s="23" t="s">
        <v>31</v>
      </c>
      <c r="V97" s="23" t="s">
        <v>31</v>
      </c>
      <c r="W97" s="23" t="s">
        <v>31</v>
      </c>
      <c r="X97" s="23" t="s">
        <v>31</v>
      </c>
      <c r="Y97" s="23" t="s">
        <v>31</v>
      </c>
      <c r="Z97" s="23" t="s">
        <v>31</v>
      </c>
      <c r="AA97" s="23" t="s">
        <v>31</v>
      </c>
      <c r="AB97" s="23" t="s">
        <v>249</v>
      </c>
      <c r="AC97" s="187"/>
      <c r="AD97" s="187">
        <v>2</v>
      </c>
      <c r="AE97" s="187" t="s">
        <v>402</v>
      </c>
      <c r="AF97" s="187"/>
      <c r="AG97" s="187"/>
      <c r="AH97" s="123" t="str">
        <f>IF(AG97=1,'BU FACILITIES'!$G$24,"")</f>
        <v/>
      </c>
      <c r="AI97" s="187"/>
      <c r="AJ97" s="196"/>
      <c r="AK97" s="120">
        <f>AJ97*'BU FACILITIES'!$G$21</f>
        <v>0</v>
      </c>
      <c r="AL97" s="196">
        <v>0</v>
      </c>
      <c r="AM97" s="121">
        <f>PRODUCT( AL97,'BU FACILITIES'!$G$22)</f>
        <v>0</v>
      </c>
      <c r="AN97" s="187"/>
      <c r="AO97" s="187"/>
      <c r="AP97" s="125" t="str">
        <f>IF(AO97=1,'BU FACILITIES'!$G$23,"")</f>
        <v/>
      </c>
      <c r="AQ97" s="187"/>
      <c r="AR97" s="187"/>
      <c r="AS97" s="122" t="str">
        <f>IF(AR97=300,AQ97*'BU FACILITIES'!$G$4, IF(AND(AR97&gt;300,AR97&lt;=500), AQ97*'BU FACILITIES'!$G$5, IF(AND(AR97&gt;500,AR97&lt;=1250), AQ97*'BU FACILITIES'!$G$6, IF(AND(AR97&gt;1250,AR97&lt;=2000),AQ97*'BU FACILITIES'!$G$7, ""))))</f>
        <v/>
      </c>
      <c r="AT97" s="187"/>
      <c r="AU97" s="187"/>
      <c r="AV97" s="122" t="str">
        <f>IF(AU97=100,AT97*'BU FACILITIES'!$G$8, IF(AND(AU97&gt;100,AU97&lt;=500), AT97*'BU FACILITIES'!$G$9, IF(AND(AU97&gt;500,AU97&lt;=800), AT97*'BU FACILITIES'!$G$10, IF(AND(AU97&gt;800,AU97&lt;=1000),AT97*'BU FACILITIES'!$G$11, IF(AND(AU97&gt;1000,AU97&lt;=1400),AT97*'BU FACILITIES'!$G$12, IF(AND(AU97&gt;1400,AU97&lt;=2000),AT97*'BU FACILITIES'!$G$13,""))))))</f>
        <v/>
      </c>
      <c r="AW97" s="187"/>
      <c r="AX97" s="187"/>
      <c r="AY97" s="122" t="str">
        <f>IF(AX97=30,AW97*'BU FACILITIES'!$G$14, IF(AX97=45, AW97*'BU FACILITIES'!$G$15, IF(AX97=450, AW97*'BU FACILITIES'!$G$16, "")))</f>
        <v/>
      </c>
      <c r="AZ97" s="187"/>
      <c r="BA97" s="187"/>
      <c r="BB97" s="187" t="str">
        <f>IF(AND(BA97&gt;=1,BA97&lt;=5),'BU FACILITIES'!$G$17, IF(AND(BA97&gt;5, BA97&lt;=10), 'BU FACILITIES'!$G$18, IF(AND(BA97&gt;10,BA97&lt;=20),'BU FACILITIES'!$G$19,"")))</f>
        <v/>
      </c>
      <c r="BC97" s="187"/>
      <c r="BD97" s="195" t="str">
        <f>IF(AND(AZ97="Modificar ductería de AA",BC97=1), 'BU FACILITIES'!$G$20, "")</f>
        <v/>
      </c>
    </row>
    <row r="98" spans="1:56" s="3" customFormat="1" ht="12.75" hidden="1" x14ac:dyDescent="0.2">
      <c r="A98" s="24" t="s">
        <v>241</v>
      </c>
      <c r="B98" s="23" t="s">
        <v>242</v>
      </c>
      <c r="C98" s="23" t="s">
        <v>243</v>
      </c>
      <c r="D98" s="38" t="s">
        <v>352</v>
      </c>
      <c r="E98" s="23" t="s">
        <v>245</v>
      </c>
      <c r="F98" s="23">
        <v>2023</v>
      </c>
      <c r="G98" s="23" t="s">
        <v>143</v>
      </c>
      <c r="H98" s="23" t="s">
        <v>143</v>
      </c>
      <c r="I98" s="23" t="s">
        <v>31</v>
      </c>
      <c r="J98" s="23" t="s">
        <v>246</v>
      </c>
      <c r="K98" s="23">
        <v>0</v>
      </c>
      <c r="L98" s="23">
        <v>0</v>
      </c>
      <c r="M98" s="23">
        <v>400</v>
      </c>
      <c r="N98" s="131">
        <v>600</v>
      </c>
      <c r="O98" s="23" t="s">
        <v>31</v>
      </c>
      <c r="P98" s="23">
        <f t="shared" si="4"/>
        <v>1200</v>
      </c>
      <c r="Q98" s="217">
        <f t="shared" si="3"/>
        <v>0.5</v>
      </c>
      <c r="R98" s="126" t="e">
        <f>VLOOKUP(G98,#REF!,11,0)*Q98</f>
        <v>#REF!</v>
      </c>
      <c r="S98" s="23" t="s">
        <v>247</v>
      </c>
      <c r="T98" s="23" t="s">
        <v>248</v>
      </c>
      <c r="U98" s="23" t="s">
        <v>31</v>
      </c>
      <c r="V98" s="23" t="s">
        <v>31</v>
      </c>
      <c r="W98" s="23" t="s">
        <v>31</v>
      </c>
      <c r="X98" s="23" t="s">
        <v>31</v>
      </c>
      <c r="Y98" s="23" t="s">
        <v>31</v>
      </c>
      <c r="Z98" s="23" t="s">
        <v>31</v>
      </c>
      <c r="AA98" s="23" t="s">
        <v>31</v>
      </c>
      <c r="AB98" s="23" t="s">
        <v>250</v>
      </c>
      <c r="AC98" s="187" t="s">
        <v>502</v>
      </c>
      <c r="AD98" s="187">
        <v>4</v>
      </c>
      <c r="AE98" s="187" t="s">
        <v>402</v>
      </c>
      <c r="AF98" s="187"/>
      <c r="AG98" s="187"/>
      <c r="AH98" s="123" t="str">
        <f>IF(AG98=1,'BU FACILITIES'!$G$24,"")</f>
        <v/>
      </c>
      <c r="AI98" s="187"/>
      <c r="AJ98" s="196"/>
      <c r="AK98" s="120">
        <f>AJ98*'BU FACILITIES'!$G$21</f>
        <v>0</v>
      </c>
      <c r="AL98" s="196">
        <v>0</v>
      </c>
      <c r="AM98" s="121">
        <f>PRODUCT( AL98,'BU FACILITIES'!$G$22)</f>
        <v>0</v>
      </c>
      <c r="AN98" s="187"/>
      <c r="AO98" s="187"/>
      <c r="AP98" s="125" t="str">
        <f>IF(AO98=1,'BU FACILITIES'!$G$23,"")</f>
        <v/>
      </c>
      <c r="AQ98" s="187"/>
      <c r="AR98" s="187"/>
      <c r="AS98" s="122" t="str">
        <f>IF(AR98=300,AQ98*'BU FACILITIES'!$G$4, IF(AND(AR98&gt;300,AR98&lt;=500), AQ98*'BU FACILITIES'!$G$5, IF(AND(AR98&gt;500,AR98&lt;=1250), AQ98*'BU FACILITIES'!$G$6, IF(AND(AR98&gt;1250,AR98&lt;=2000),AQ98*'BU FACILITIES'!$G$7, ""))))</f>
        <v/>
      </c>
      <c r="AT98" s="187"/>
      <c r="AU98" s="187"/>
      <c r="AV98" s="122" t="str">
        <f>IF(AU98=100,AT98*'BU FACILITIES'!$G$8, IF(AND(AU98&gt;100,AU98&lt;=500), AT98*'BU FACILITIES'!$G$9, IF(AND(AU98&gt;500,AU98&lt;=800), AT98*'BU FACILITIES'!$G$10, IF(AND(AU98&gt;800,AU98&lt;=1000),AT98*'BU FACILITIES'!$G$11, IF(AND(AU98&gt;1000,AU98&lt;=1400),AT98*'BU FACILITIES'!$G$12, IF(AND(AU98&gt;1400,AU98&lt;=2000),AT98*'BU FACILITIES'!$G$13,""))))))</f>
        <v/>
      </c>
      <c r="AW98" s="187"/>
      <c r="AX98" s="187"/>
      <c r="AY98" s="122" t="str">
        <f>IF(AX98=30,AW98*'BU FACILITIES'!$G$14, IF(AX98=45, AW98*'BU FACILITIES'!$G$15, IF(AX98=450, AW98*'BU FACILITIES'!$G$16, "")))</f>
        <v/>
      </c>
      <c r="AZ98" s="187"/>
      <c r="BA98" s="187"/>
      <c r="BB98" s="187" t="str">
        <f>IF(AND(BA98&gt;=1,BA98&lt;=5),'BU FACILITIES'!$G$17, IF(AND(BA98&gt;5, BA98&lt;=10), 'BU FACILITIES'!$G$18, IF(AND(BA98&gt;10,BA98&lt;=20),'BU FACILITIES'!$G$19,"")))</f>
        <v/>
      </c>
      <c r="BC98" s="187"/>
      <c r="BD98" s="195" t="str">
        <f>IF(AND(AZ98="Modificar ductería de AA",BC98=1), 'BU FACILITIES'!$G$20, "")</f>
        <v/>
      </c>
    </row>
    <row r="99" spans="1:56" s="3" customFormat="1" ht="12.75" hidden="1" x14ac:dyDescent="0.2">
      <c r="A99" s="24" t="s">
        <v>241</v>
      </c>
      <c r="B99" s="23" t="s">
        <v>242</v>
      </c>
      <c r="C99" s="23" t="s">
        <v>243</v>
      </c>
      <c r="D99" s="38" t="s">
        <v>352</v>
      </c>
      <c r="E99" s="23" t="s">
        <v>245</v>
      </c>
      <c r="F99" s="23">
        <v>2023</v>
      </c>
      <c r="G99" s="23" t="s">
        <v>113</v>
      </c>
      <c r="H99" s="23" t="s">
        <v>113</v>
      </c>
      <c r="I99" s="80" t="s">
        <v>457</v>
      </c>
      <c r="J99" s="23" t="s">
        <v>246</v>
      </c>
      <c r="K99" s="23">
        <v>0</v>
      </c>
      <c r="L99" s="23">
        <v>0</v>
      </c>
      <c r="M99" s="23">
        <v>400</v>
      </c>
      <c r="N99" s="135">
        <v>600</v>
      </c>
      <c r="O99" s="23" t="s">
        <v>31</v>
      </c>
      <c r="P99" s="23">
        <f t="shared" si="4"/>
        <v>600</v>
      </c>
      <c r="Q99" s="217">
        <f t="shared" si="3"/>
        <v>1</v>
      </c>
      <c r="R99" s="126" t="e">
        <f>VLOOKUP(G99,#REF!,11,0)*Q99</f>
        <v>#REF!</v>
      </c>
      <c r="S99" s="23" t="s">
        <v>247</v>
      </c>
      <c r="T99" s="23" t="s">
        <v>248</v>
      </c>
      <c r="U99" s="23" t="s">
        <v>31</v>
      </c>
      <c r="V99" s="23" t="s">
        <v>31</v>
      </c>
      <c r="W99" s="23" t="s">
        <v>31</v>
      </c>
      <c r="X99" s="23" t="s">
        <v>31</v>
      </c>
      <c r="Y99" s="23" t="s">
        <v>31</v>
      </c>
      <c r="Z99" s="23" t="s">
        <v>31</v>
      </c>
      <c r="AA99" s="23" t="s">
        <v>31</v>
      </c>
      <c r="AB99" s="23" t="s">
        <v>253</v>
      </c>
      <c r="AC99" s="187" t="s">
        <v>508</v>
      </c>
      <c r="AD99" s="187">
        <v>3</v>
      </c>
      <c r="AE99" s="187" t="s">
        <v>402</v>
      </c>
      <c r="AF99" s="187"/>
      <c r="AG99" s="187"/>
      <c r="AH99" s="123" t="str">
        <f>IF(AG99=1,'BU FACILITIES'!$G$24,"")</f>
        <v/>
      </c>
      <c r="AI99" s="187"/>
      <c r="AJ99" s="196"/>
      <c r="AK99" s="120">
        <f>AJ99*'BU FACILITIES'!$G$21</f>
        <v>0</v>
      </c>
      <c r="AL99" s="196">
        <v>0</v>
      </c>
      <c r="AM99" s="121">
        <f>PRODUCT( AL99,'BU FACILITIES'!$G$22)</f>
        <v>0</v>
      </c>
      <c r="AN99" s="187"/>
      <c r="AO99" s="187"/>
      <c r="AP99" s="125" t="str">
        <f>IF(AO99=1,'BU FACILITIES'!$G$23,"")</f>
        <v/>
      </c>
      <c r="AQ99" s="187"/>
      <c r="AR99" s="187"/>
      <c r="AS99" s="122" t="str">
        <f>IF(AR99=300,AQ99*'BU FACILITIES'!$G$4, IF(AND(AR99&gt;300,AR99&lt;=500), AQ99*'BU FACILITIES'!$G$5, IF(AND(AR99&gt;500,AR99&lt;=1250), AQ99*'BU FACILITIES'!$G$6, IF(AND(AR99&gt;1250,AR99&lt;=2000),AQ99*'BU FACILITIES'!$G$7, ""))))</f>
        <v/>
      </c>
      <c r="AT99" s="187"/>
      <c r="AU99" s="187"/>
      <c r="AV99" s="122" t="str">
        <f>IF(AU99=100,AT99*'BU FACILITIES'!$G$8, IF(AND(AU99&gt;100,AU99&lt;=500), AT99*'BU FACILITIES'!$G$9, IF(AND(AU99&gt;500,AU99&lt;=800), AT99*'BU FACILITIES'!$G$10, IF(AND(AU99&gt;800,AU99&lt;=1000),AT99*'BU FACILITIES'!$G$11, IF(AND(AU99&gt;1000,AU99&lt;=1400),AT99*'BU FACILITIES'!$G$12, IF(AND(AU99&gt;1400,AU99&lt;=2000),AT99*'BU FACILITIES'!$G$13,""))))))</f>
        <v/>
      </c>
      <c r="AW99" s="187"/>
      <c r="AX99" s="187"/>
      <c r="AY99" s="122" t="str">
        <f>IF(AX99=30,AW99*'BU FACILITIES'!$G$14, IF(AX99=45, AW99*'BU FACILITIES'!$G$15, IF(AX99=450, AW99*'BU FACILITIES'!$G$16, "")))</f>
        <v/>
      </c>
      <c r="AZ99" s="187"/>
      <c r="BA99" s="187"/>
      <c r="BB99" s="187" t="str">
        <f>IF(AND(BA99&gt;=1,BA99&lt;=5),'BU FACILITIES'!$G$17, IF(AND(BA99&gt;5, BA99&lt;=10), 'BU FACILITIES'!$G$18, IF(AND(BA99&gt;10,BA99&lt;=20),'BU FACILITIES'!$G$19,"")))</f>
        <v/>
      </c>
      <c r="BC99" s="187"/>
      <c r="BD99" s="195" t="str">
        <f>IF(AND(AZ99="Modificar ductería de AA",BC99=1), 'BU FACILITIES'!$G$20, "")</f>
        <v/>
      </c>
    </row>
    <row r="100" spans="1:56" s="3" customFormat="1" ht="12.75" hidden="1" x14ac:dyDescent="0.2">
      <c r="A100" s="24" t="s">
        <v>241</v>
      </c>
      <c r="B100" s="23" t="s">
        <v>242</v>
      </c>
      <c r="C100" s="23" t="s">
        <v>243</v>
      </c>
      <c r="D100" s="38" t="s">
        <v>352</v>
      </c>
      <c r="E100" s="23" t="s">
        <v>245</v>
      </c>
      <c r="F100" s="23">
        <v>2023</v>
      </c>
      <c r="G100" s="23" t="s">
        <v>89</v>
      </c>
      <c r="H100" s="23" t="s">
        <v>57</v>
      </c>
      <c r="I100" s="23" t="s">
        <v>31</v>
      </c>
      <c r="J100" s="23" t="s">
        <v>246</v>
      </c>
      <c r="K100" s="23">
        <v>0</v>
      </c>
      <c r="L100" s="23">
        <v>0</v>
      </c>
      <c r="M100" s="23">
        <v>400</v>
      </c>
      <c r="N100" s="135">
        <v>600</v>
      </c>
      <c r="O100" s="23" t="s">
        <v>31</v>
      </c>
      <c r="P100" s="23">
        <f t="shared" si="4"/>
        <v>1800</v>
      </c>
      <c r="Q100" s="217">
        <f t="shared" si="3"/>
        <v>0.33333333333333331</v>
      </c>
      <c r="R100" s="126" t="e">
        <f>VLOOKUP(G100,#REF!,11,0)*Q100</f>
        <v>#REF!</v>
      </c>
      <c r="S100" s="23" t="s">
        <v>247</v>
      </c>
      <c r="T100" s="23" t="s">
        <v>248</v>
      </c>
      <c r="U100" s="23" t="s">
        <v>31</v>
      </c>
      <c r="V100" s="23" t="s">
        <v>31</v>
      </c>
      <c r="W100" s="23" t="s">
        <v>31</v>
      </c>
      <c r="X100" s="23" t="s">
        <v>31</v>
      </c>
      <c r="Y100" s="23" t="s">
        <v>31</v>
      </c>
      <c r="Z100" s="23" t="s">
        <v>31</v>
      </c>
      <c r="AA100" s="23" t="s">
        <v>31</v>
      </c>
      <c r="AB100" s="23" t="s">
        <v>253</v>
      </c>
      <c r="AC100" s="187" t="s">
        <v>472</v>
      </c>
      <c r="AD100" s="187" t="s">
        <v>473</v>
      </c>
      <c r="AE100" s="187" t="s">
        <v>402</v>
      </c>
      <c r="AF100" s="187"/>
      <c r="AG100" s="187"/>
      <c r="AH100" s="123" t="str">
        <f>IF(AG100=1,'BU FACILITIES'!$G$24,"")</f>
        <v/>
      </c>
      <c r="AI100" s="187"/>
      <c r="AJ100" s="196"/>
      <c r="AK100" s="120">
        <f>AJ100*'BU FACILITIES'!$G$21</f>
        <v>0</v>
      </c>
      <c r="AL100" s="196">
        <v>0</v>
      </c>
      <c r="AM100" s="121">
        <f>PRODUCT( AL100,'BU FACILITIES'!$G$22)</f>
        <v>0</v>
      </c>
      <c r="AN100" s="187"/>
      <c r="AO100" s="187"/>
      <c r="AP100" s="125" t="str">
        <f>IF(AO100=1,'BU FACILITIES'!$G$23,"")</f>
        <v/>
      </c>
      <c r="AQ100" s="187"/>
      <c r="AR100" s="187"/>
      <c r="AS100" s="122" t="str">
        <f>IF(AR100=300,AQ100*'BU FACILITIES'!$G$4, IF(AND(AR100&gt;300,AR100&lt;=500), AQ100*'BU FACILITIES'!$G$5, IF(AND(AR100&gt;500,AR100&lt;=1250), AQ100*'BU FACILITIES'!$G$6, IF(AND(AR100&gt;1250,AR100&lt;=2000),AQ100*'BU FACILITIES'!$G$7, ""))))</f>
        <v/>
      </c>
      <c r="AT100" s="187"/>
      <c r="AU100" s="187"/>
      <c r="AV100" s="122" t="str">
        <f>IF(AU100=100,AT100*'BU FACILITIES'!$G$8, IF(AND(AU100&gt;100,AU100&lt;=500), AT100*'BU FACILITIES'!$G$9, IF(AND(AU100&gt;500,AU100&lt;=800), AT100*'BU FACILITIES'!$G$10, IF(AND(AU100&gt;800,AU100&lt;=1000),AT100*'BU FACILITIES'!$G$11, IF(AND(AU100&gt;1000,AU100&lt;=1400),AT100*'BU FACILITIES'!$G$12, IF(AND(AU100&gt;1400,AU100&lt;=2000),AT100*'BU FACILITIES'!$G$13,""))))))</f>
        <v/>
      </c>
      <c r="AW100" s="187"/>
      <c r="AX100" s="187"/>
      <c r="AY100" s="122" t="str">
        <f>IF(AX100=30,AW100*'BU FACILITIES'!$G$14, IF(AX100=45, AW100*'BU FACILITIES'!$G$15, IF(AX100=450, AW100*'BU FACILITIES'!$G$16, "")))</f>
        <v/>
      </c>
      <c r="AZ100" s="187"/>
      <c r="BA100" s="187"/>
      <c r="BB100" s="187" t="str">
        <f>IF(AND(BA100&gt;=1,BA100&lt;=5),'BU FACILITIES'!$G$17, IF(AND(BA100&gt;5, BA100&lt;=10), 'BU FACILITIES'!$G$18, IF(AND(BA100&gt;10,BA100&lt;=20),'BU FACILITIES'!$G$19,"")))</f>
        <v/>
      </c>
      <c r="BC100" s="187"/>
      <c r="BD100" s="195" t="str">
        <f>IF(AND(AZ100="Modificar ductería de AA",BC100=1), 'BU FACILITIES'!$G$20, "")</f>
        <v/>
      </c>
    </row>
    <row r="101" spans="1:56" s="3" customFormat="1" ht="12.75" hidden="1" x14ac:dyDescent="0.2">
      <c r="A101" s="24" t="s">
        <v>241</v>
      </c>
      <c r="B101" s="23" t="s">
        <v>242</v>
      </c>
      <c r="C101" s="23" t="s">
        <v>243</v>
      </c>
      <c r="D101" s="38" t="s">
        <v>352</v>
      </c>
      <c r="E101" s="23" t="s">
        <v>245</v>
      </c>
      <c r="F101" s="23">
        <v>2023</v>
      </c>
      <c r="G101" s="204" t="s">
        <v>114</v>
      </c>
      <c r="H101" s="23" t="s">
        <v>66</v>
      </c>
      <c r="I101" s="23" t="s">
        <v>457</v>
      </c>
      <c r="J101" s="23" t="s">
        <v>246</v>
      </c>
      <c r="K101" s="23">
        <v>0</v>
      </c>
      <c r="L101" s="23">
        <v>0</v>
      </c>
      <c r="M101" s="23">
        <v>400</v>
      </c>
      <c r="N101" s="135">
        <v>600</v>
      </c>
      <c r="O101" s="23" t="s">
        <v>31</v>
      </c>
      <c r="P101" s="23">
        <f t="shared" si="4"/>
        <v>4650</v>
      </c>
      <c r="Q101" s="217">
        <f t="shared" si="3"/>
        <v>0.12903225806451613</v>
      </c>
      <c r="R101" s="126" t="e">
        <f>VLOOKUP(G101,#REF!,11,0)*Q101</f>
        <v>#REF!</v>
      </c>
      <c r="S101" s="23" t="s">
        <v>247</v>
      </c>
      <c r="T101" s="23" t="s">
        <v>248</v>
      </c>
      <c r="U101" s="23" t="s">
        <v>31</v>
      </c>
      <c r="V101" s="23" t="s">
        <v>31</v>
      </c>
      <c r="W101" s="23" t="s">
        <v>31</v>
      </c>
      <c r="X101" s="23" t="s">
        <v>31</v>
      </c>
      <c r="Y101" s="23" t="s">
        <v>31</v>
      </c>
      <c r="Z101" s="23" t="s">
        <v>31</v>
      </c>
      <c r="AA101" s="23" t="s">
        <v>31</v>
      </c>
      <c r="AB101" s="23" t="s">
        <v>253</v>
      </c>
      <c r="AC101" s="187"/>
      <c r="AD101" s="187">
        <v>4</v>
      </c>
      <c r="AE101" s="187" t="s">
        <v>402</v>
      </c>
      <c r="AF101" s="187"/>
      <c r="AG101" s="187"/>
      <c r="AH101" s="123" t="str">
        <f>IF(AG101=1,'BU FACILITIES'!$G$24,"")</f>
        <v/>
      </c>
      <c r="AI101" s="187"/>
      <c r="AJ101" s="196"/>
      <c r="AK101" s="120">
        <f>AJ101*'BU FACILITIES'!$G$21</f>
        <v>0</v>
      </c>
      <c r="AL101" s="196">
        <v>0</v>
      </c>
      <c r="AM101" s="121">
        <f>PRODUCT( AL101,'BU FACILITIES'!$G$22)</f>
        <v>0</v>
      </c>
      <c r="AN101" s="187"/>
      <c r="AO101" s="187"/>
      <c r="AP101" s="125" t="str">
        <f>IF(AO101=1,'BU FACILITIES'!$G$23,"")</f>
        <v/>
      </c>
      <c r="AQ101" s="187"/>
      <c r="AR101" s="187"/>
      <c r="AS101" s="122" t="str">
        <f>IF(AR101=300,AQ101*'BU FACILITIES'!$G$4, IF(AND(AR101&gt;300,AR101&lt;=500), AQ101*'BU FACILITIES'!$G$5, IF(AND(AR101&gt;500,AR101&lt;=1250), AQ101*'BU FACILITIES'!$G$6, IF(AND(AR101&gt;1250,AR101&lt;=2000),AQ101*'BU FACILITIES'!$G$7, ""))))</f>
        <v/>
      </c>
      <c r="AT101" s="187"/>
      <c r="AU101" s="187"/>
      <c r="AV101" s="122" t="str">
        <f>IF(AU101=100,AT101*'BU FACILITIES'!$G$8, IF(AND(AU101&gt;100,AU101&lt;=500), AT101*'BU FACILITIES'!$G$9, IF(AND(AU101&gt;500,AU101&lt;=800), AT101*'BU FACILITIES'!$G$10, IF(AND(AU101&gt;800,AU101&lt;=1000),AT101*'BU FACILITIES'!$G$11, IF(AND(AU101&gt;1000,AU101&lt;=1400),AT101*'BU FACILITIES'!$G$12, IF(AND(AU101&gt;1400,AU101&lt;=2000),AT101*'BU FACILITIES'!$G$13,""))))))</f>
        <v/>
      </c>
      <c r="AW101" s="187"/>
      <c r="AX101" s="187"/>
      <c r="AY101" s="122" t="str">
        <f>IF(AX101=30,AW101*'BU FACILITIES'!$G$14, IF(AX101=45, AW101*'BU FACILITIES'!$G$15, IF(AX101=450, AW101*'BU FACILITIES'!$G$16, "")))</f>
        <v/>
      </c>
      <c r="AZ101" s="187"/>
      <c r="BA101" s="187"/>
      <c r="BB101" s="187" t="str">
        <f>IF(AND(BA101&gt;=1,BA101&lt;=5),'BU FACILITIES'!$G$17, IF(AND(BA101&gt;5, BA101&lt;=10), 'BU FACILITIES'!$G$18, IF(AND(BA101&gt;10,BA101&lt;=20),'BU FACILITIES'!$G$19,"")))</f>
        <v/>
      </c>
      <c r="BC101" s="187"/>
      <c r="BD101" s="195" t="str">
        <f>IF(AND(AZ101="Modificar ductería de AA",BC101=1), 'BU FACILITIES'!$G$20, "")</f>
        <v/>
      </c>
    </row>
    <row r="102" spans="1:56" s="3" customFormat="1" ht="12.75" hidden="1" x14ac:dyDescent="0.2">
      <c r="A102" s="24" t="s">
        <v>241</v>
      </c>
      <c r="B102" s="23" t="s">
        <v>242</v>
      </c>
      <c r="C102" s="23" t="s">
        <v>243</v>
      </c>
      <c r="D102" s="38" t="s">
        <v>352</v>
      </c>
      <c r="E102" s="23" t="s">
        <v>245</v>
      </c>
      <c r="F102" s="23">
        <v>2023</v>
      </c>
      <c r="G102" s="23" t="s">
        <v>43</v>
      </c>
      <c r="H102" s="23" t="s">
        <v>66</v>
      </c>
      <c r="I102" s="23" t="s">
        <v>457</v>
      </c>
      <c r="J102" s="23" t="s">
        <v>246</v>
      </c>
      <c r="K102" s="23">
        <v>0</v>
      </c>
      <c r="L102" s="23">
        <v>0</v>
      </c>
      <c r="M102" s="23">
        <v>400</v>
      </c>
      <c r="N102" s="135">
        <v>600</v>
      </c>
      <c r="O102" s="23" t="s">
        <v>31</v>
      </c>
      <c r="P102" s="23">
        <f t="shared" si="4"/>
        <v>4050</v>
      </c>
      <c r="Q102" s="217">
        <f t="shared" si="3"/>
        <v>0.14814814814814814</v>
      </c>
      <c r="R102" s="126" t="e">
        <f>VLOOKUP(G102,#REF!,11,0)*Q102</f>
        <v>#REF!</v>
      </c>
      <c r="S102" s="23" t="s">
        <v>247</v>
      </c>
      <c r="T102" s="23" t="s">
        <v>248</v>
      </c>
      <c r="U102" s="23" t="s">
        <v>31</v>
      </c>
      <c r="V102" s="23" t="s">
        <v>31</v>
      </c>
      <c r="W102" s="23" t="s">
        <v>31</v>
      </c>
      <c r="X102" s="23" t="s">
        <v>31</v>
      </c>
      <c r="Y102" s="23" t="s">
        <v>31</v>
      </c>
      <c r="Z102" s="23" t="s">
        <v>31</v>
      </c>
      <c r="AA102" s="23" t="s">
        <v>31</v>
      </c>
      <c r="AB102" s="23" t="s">
        <v>253</v>
      </c>
      <c r="AC102" s="187"/>
      <c r="AD102" s="187">
        <v>4</v>
      </c>
      <c r="AE102" s="187" t="s">
        <v>402</v>
      </c>
      <c r="AF102" s="187"/>
      <c r="AG102" s="187"/>
      <c r="AH102" s="123" t="str">
        <f>IF(AG102=1,'BU FACILITIES'!$G$24,"")</f>
        <v/>
      </c>
      <c r="AI102" s="187"/>
      <c r="AJ102" s="196"/>
      <c r="AK102" s="120">
        <f>AJ102*'BU FACILITIES'!$G$21</f>
        <v>0</v>
      </c>
      <c r="AL102" s="196">
        <v>0</v>
      </c>
      <c r="AM102" s="121">
        <f>PRODUCT( AL102,'BU FACILITIES'!$G$22)</f>
        <v>0</v>
      </c>
      <c r="AN102" s="187"/>
      <c r="AO102" s="187"/>
      <c r="AP102" s="125" t="str">
        <f>IF(AO102=1,'BU FACILITIES'!$G$23,"")</f>
        <v/>
      </c>
      <c r="AQ102" s="187"/>
      <c r="AR102" s="187"/>
      <c r="AS102" s="122" t="str">
        <f>IF(AR102=300,AQ102*'BU FACILITIES'!$G$4, IF(AND(AR102&gt;300,AR102&lt;=500), AQ102*'BU FACILITIES'!$G$5, IF(AND(AR102&gt;500,AR102&lt;=1250), AQ102*'BU FACILITIES'!$G$6, IF(AND(AR102&gt;1250,AR102&lt;=2000),AQ102*'BU FACILITIES'!$G$7, ""))))</f>
        <v/>
      </c>
      <c r="AT102" s="187"/>
      <c r="AU102" s="187"/>
      <c r="AV102" s="122" t="str">
        <f>IF(AU102=100,AT102*'BU FACILITIES'!$G$8, IF(AND(AU102&gt;100,AU102&lt;=500), AT102*'BU FACILITIES'!$G$9, IF(AND(AU102&gt;500,AU102&lt;=800), AT102*'BU FACILITIES'!$G$10, IF(AND(AU102&gt;800,AU102&lt;=1000),AT102*'BU FACILITIES'!$G$11, IF(AND(AU102&gt;1000,AU102&lt;=1400),AT102*'BU FACILITIES'!$G$12, IF(AND(AU102&gt;1400,AU102&lt;=2000),AT102*'BU FACILITIES'!$G$13,""))))))</f>
        <v/>
      </c>
      <c r="AW102" s="187"/>
      <c r="AX102" s="187"/>
      <c r="AY102" s="122" t="str">
        <f>IF(AX102=30,AW102*'BU FACILITIES'!$G$14, IF(AX102=45, AW102*'BU FACILITIES'!$G$15, IF(AX102=450, AW102*'BU FACILITIES'!$G$16, "")))</f>
        <v/>
      </c>
      <c r="AZ102" s="187"/>
      <c r="BA102" s="187"/>
      <c r="BB102" s="187" t="str">
        <f>IF(AND(BA102&gt;=1,BA102&lt;=5),'BU FACILITIES'!$G$17, IF(AND(BA102&gt;5, BA102&lt;=10), 'BU FACILITIES'!$G$18, IF(AND(BA102&gt;10,BA102&lt;=20),'BU FACILITIES'!$G$19,"")))</f>
        <v/>
      </c>
      <c r="BC102" s="187"/>
      <c r="BD102" s="195" t="str">
        <f>IF(AND(AZ102="Modificar ductería de AA",BC102=1), 'BU FACILITIES'!$G$20, "")</f>
        <v/>
      </c>
    </row>
    <row r="103" spans="1:56" s="3" customFormat="1" hidden="1" x14ac:dyDescent="0.25">
      <c r="A103" s="24" t="s">
        <v>241</v>
      </c>
      <c r="B103" s="23" t="s">
        <v>242</v>
      </c>
      <c r="C103" s="23" t="s">
        <v>243</v>
      </c>
      <c r="D103" s="38" t="s">
        <v>352</v>
      </c>
      <c r="E103" s="23" t="s">
        <v>245</v>
      </c>
      <c r="F103" s="23">
        <v>2023</v>
      </c>
      <c r="G103" s="23" t="s">
        <v>80</v>
      </c>
      <c r="H103" s="23" t="s">
        <v>66</v>
      </c>
      <c r="I103" s="23" t="s">
        <v>457</v>
      </c>
      <c r="J103" s="23" t="s">
        <v>246</v>
      </c>
      <c r="K103" s="23">
        <v>0</v>
      </c>
      <c r="L103" s="23">
        <v>0</v>
      </c>
      <c r="M103" s="23">
        <v>400</v>
      </c>
      <c r="N103" s="152">
        <f>600+400</f>
        <v>1000</v>
      </c>
      <c r="O103" s="23" t="s">
        <v>31</v>
      </c>
      <c r="P103" s="23">
        <f t="shared" si="4"/>
        <v>7650</v>
      </c>
      <c r="Q103" s="217">
        <f t="shared" si="3"/>
        <v>0.13071895424836602</v>
      </c>
      <c r="R103" s="126" t="e">
        <f>VLOOKUP(G103,#REF!,11,0)*Q103</f>
        <v>#REF!</v>
      </c>
      <c r="S103" s="23" t="s">
        <v>247</v>
      </c>
      <c r="T103" s="23" t="s">
        <v>248</v>
      </c>
      <c r="U103" s="23" t="s">
        <v>31</v>
      </c>
      <c r="V103" s="23" t="s">
        <v>31</v>
      </c>
      <c r="W103" s="23" t="s">
        <v>31</v>
      </c>
      <c r="X103" s="23" t="s">
        <v>31</v>
      </c>
      <c r="Y103" s="23" t="s">
        <v>31</v>
      </c>
      <c r="Z103" s="23" t="s">
        <v>31</v>
      </c>
      <c r="AA103" s="23" t="s">
        <v>31</v>
      </c>
      <c r="AB103" s="23" t="s">
        <v>253</v>
      </c>
      <c r="AC103" s="187"/>
      <c r="AD103" s="187">
        <v>2</v>
      </c>
      <c r="AE103" s="187" t="s">
        <v>402</v>
      </c>
      <c r="AF103" s="187"/>
      <c r="AG103" s="187"/>
      <c r="AH103" s="123" t="str">
        <f>IF(AG103=1,'BU FACILITIES'!$G$24,"")</f>
        <v/>
      </c>
      <c r="AI103" s="187"/>
      <c r="AJ103" s="196"/>
      <c r="AK103" s="120">
        <f>AJ103*'BU FACILITIES'!$G$21</f>
        <v>0</v>
      </c>
      <c r="AL103" s="196">
        <v>1</v>
      </c>
      <c r="AM103" s="121">
        <f>PRODUCT( AL103,'BU FACILITIES'!$G$22)</f>
        <v>870.73170731707319</v>
      </c>
      <c r="AN103" s="187"/>
      <c r="AO103" s="187"/>
      <c r="AP103" s="125" t="str">
        <f>IF(AO103=1,'BU FACILITIES'!$G$23,"")</f>
        <v/>
      </c>
      <c r="AQ103" s="187"/>
      <c r="AR103" s="187"/>
      <c r="AS103" s="122" t="str">
        <f>IF(AR103=300,AQ103*'BU FACILITIES'!$G$4, IF(AND(AR103&gt;300,AR103&lt;=500), AQ103*'BU FACILITIES'!$G$5, IF(AND(AR103&gt;500,AR103&lt;=1250), AQ103*'BU FACILITIES'!$G$6, IF(AND(AR103&gt;1250,AR103&lt;=2000),AQ103*'BU FACILITIES'!$G$7, ""))))</f>
        <v/>
      </c>
      <c r="AT103" s="187"/>
      <c r="AU103" s="187"/>
      <c r="AV103" s="122" t="str">
        <f>IF(AU103=100,AT103*'BU FACILITIES'!$G$8, IF(AND(AU103&gt;100,AU103&lt;=500), AT103*'BU FACILITIES'!$G$9, IF(AND(AU103&gt;500,AU103&lt;=800), AT103*'BU FACILITIES'!$G$10, IF(AND(AU103&gt;800,AU103&lt;=1000),AT103*'BU FACILITIES'!$G$11, IF(AND(AU103&gt;1000,AU103&lt;=1400),AT103*'BU FACILITIES'!$G$12, IF(AND(AU103&gt;1400,AU103&lt;=2000),AT103*'BU FACILITIES'!$G$13,""))))))</f>
        <v/>
      </c>
      <c r="AW103" s="187"/>
      <c r="AX103" s="187"/>
      <c r="AY103" s="122" t="str">
        <f>IF(AX103=30,AW103*'BU FACILITIES'!$G$14, IF(AX103=45, AW103*'BU FACILITIES'!$G$15, IF(AX103=450, AW103*'BU FACILITIES'!$G$16, "")))</f>
        <v/>
      </c>
      <c r="AZ103" s="187"/>
      <c r="BA103" s="187"/>
      <c r="BB103" s="187" t="str">
        <f>IF(AND(BA103&gt;=1,BA103&lt;=5),'BU FACILITIES'!$G$17, IF(AND(BA103&gt;5, BA103&lt;=10), 'BU FACILITIES'!$G$18, IF(AND(BA103&gt;10,BA103&lt;=20),'BU FACILITIES'!$G$19,"")))</f>
        <v/>
      </c>
      <c r="BC103" s="187"/>
      <c r="BD103" s="195" t="str">
        <f>IF(AND(AZ103="Modificar ductería de AA",BC103=1), 'BU FACILITIES'!$G$20, "")</f>
        <v/>
      </c>
    </row>
    <row r="104" spans="1:56" s="3" customFormat="1" ht="12.75" hidden="1" x14ac:dyDescent="0.2">
      <c r="A104" s="24" t="s">
        <v>241</v>
      </c>
      <c r="B104" s="23" t="s">
        <v>242</v>
      </c>
      <c r="C104" s="23" t="s">
        <v>243</v>
      </c>
      <c r="D104" s="38" t="s">
        <v>352</v>
      </c>
      <c r="E104" s="23" t="s">
        <v>245</v>
      </c>
      <c r="F104" s="23">
        <v>2023</v>
      </c>
      <c r="G104" s="23" t="s">
        <v>132</v>
      </c>
      <c r="H104" s="23" t="s">
        <v>132</v>
      </c>
      <c r="I104" s="23" t="s">
        <v>457</v>
      </c>
      <c r="J104" s="23" t="s">
        <v>246</v>
      </c>
      <c r="K104" s="23">
        <v>0</v>
      </c>
      <c r="L104" s="23">
        <v>0</v>
      </c>
      <c r="M104" s="23">
        <v>400</v>
      </c>
      <c r="N104" s="135">
        <v>600</v>
      </c>
      <c r="O104" s="23" t="s">
        <v>31</v>
      </c>
      <c r="P104" s="23">
        <f t="shared" si="4"/>
        <v>4650</v>
      </c>
      <c r="Q104" s="217">
        <f t="shared" si="3"/>
        <v>0.12903225806451613</v>
      </c>
      <c r="R104" s="126" t="e">
        <f>VLOOKUP(G104,#REF!,11,0)*Q104</f>
        <v>#REF!</v>
      </c>
      <c r="S104" s="23" t="s">
        <v>247</v>
      </c>
      <c r="T104" s="23" t="s">
        <v>248</v>
      </c>
      <c r="U104" s="23" t="s">
        <v>31</v>
      </c>
      <c r="V104" s="23" t="s">
        <v>31</v>
      </c>
      <c r="W104" s="23" t="s">
        <v>31</v>
      </c>
      <c r="X104" s="23" t="s">
        <v>31</v>
      </c>
      <c r="Y104" s="23" t="s">
        <v>31</v>
      </c>
      <c r="Z104" s="23" t="s">
        <v>31</v>
      </c>
      <c r="AA104" s="23" t="s">
        <v>31</v>
      </c>
      <c r="AB104" s="23" t="s">
        <v>253</v>
      </c>
      <c r="AC104" s="187"/>
      <c r="AD104" s="187">
        <v>4</v>
      </c>
      <c r="AE104" s="187" t="s">
        <v>402</v>
      </c>
      <c r="AF104" s="187"/>
      <c r="AG104" s="187"/>
      <c r="AH104" s="123" t="str">
        <f>IF(AG104=1,'BU FACILITIES'!$G$24,"")</f>
        <v/>
      </c>
      <c r="AI104" s="187"/>
      <c r="AJ104" s="196"/>
      <c r="AK104" s="120">
        <f>AJ104*'BU FACILITIES'!$G$21</f>
        <v>0</v>
      </c>
      <c r="AL104" s="196">
        <v>0</v>
      </c>
      <c r="AM104" s="121">
        <f>PRODUCT( AL104,'BU FACILITIES'!$G$22)</f>
        <v>0</v>
      </c>
      <c r="AN104" s="187"/>
      <c r="AO104" s="187"/>
      <c r="AP104" s="125" t="str">
        <f>IF(AO104=1,'BU FACILITIES'!$G$23,"")</f>
        <v/>
      </c>
      <c r="AQ104" s="187"/>
      <c r="AR104" s="187"/>
      <c r="AS104" s="122" t="str">
        <f>IF(AR104=300,AQ104*'BU FACILITIES'!$G$4, IF(AND(AR104&gt;300,AR104&lt;=500), AQ104*'BU FACILITIES'!$G$5, IF(AND(AR104&gt;500,AR104&lt;=1250), AQ104*'BU FACILITIES'!$G$6, IF(AND(AR104&gt;1250,AR104&lt;=2000),AQ104*'BU FACILITIES'!$G$7, ""))))</f>
        <v/>
      </c>
      <c r="AT104" s="187"/>
      <c r="AU104" s="187"/>
      <c r="AV104" s="122" t="str">
        <f>IF(AU104=100,AT104*'BU FACILITIES'!$G$8, IF(AND(AU104&gt;100,AU104&lt;=500), AT104*'BU FACILITIES'!$G$9, IF(AND(AU104&gt;500,AU104&lt;=800), AT104*'BU FACILITIES'!$G$10, IF(AND(AU104&gt;800,AU104&lt;=1000),AT104*'BU FACILITIES'!$G$11, IF(AND(AU104&gt;1000,AU104&lt;=1400),AT104*'BU FACILITIES'!$G$12, IF(AND(AU104&gt;1400,AU104&lt;=2000),AT104*'BU FACILITIES'!$G$13,""))))))</f>
        <v/>
      </c>
      <c r="AW104" s="187"/>
      <c r="AX104" s="187"/>
      <c r="AY104" s="122" t="str">
        <f>IF(AX104=30,AW104*'BU FACILITIES'!$G$14, IF(AX104=45, AW104*'BU FACILITIES'!$G$15, IF(AX104=450, AW104*'BU FACILITIES'!$G$16, "")))</f>
        <v/>
      </c>
      <c r="AZ104" s="187"/>
      <c r="BA104" s="187"/>
      <c r="BB104" s="187" t="str">
        <f>IF(AND(BA104&gt;=1,BA104&lt;=5),'BU FACILITIES'!$G$17, IF(AND(BA104&gt;5, BA104&lt;=10), 'BU FACILITIES'!$G$18, IF(AND(BA104&gt;10,BA104&lt;=20),'BU FACILITIES'!$G$19,"")))</f>
        <v/>
      </c>
      <c r="BC104" s="187"/>
      <c r="BD104" s="195" t="str">
        <f>IF(AND(AZ104="Modificar ductería de AA",BC104=1), 'BU FACILITIES'!$G$20, "")</f>
        <v/>
      </c>
    </row>
    <row r="105" spans="1:56" s="3" customFormat="1" ht="12.75" hidden="1" x14ac:dyDescent="0.2">
      <c r="A105" s="24" t="s">
        <v>241</v>
      </c>
      <c r="B105" s="23" t="s">
        <v>242</v>
      </c>
      <c r="C105" s="23" t="s">
        <v>243</v>
      </c>
      <c r="D105" s="38" t="s">
        <v>352</v>
      </c>
      <c r="E105" s="23" t="s">
        <v>245</v>
      </c>
      <c r="F105" s="23">
        <v>2023</v>
      </c>
      <c r="G105" s="23" t="s">
        <v>72</v>
      </c>
      <c r="H105" s="23" t="s">
        <v>66</v>
      </c>
      <c r="I105" s="23" t="s">
        <v>457</v>
      </c>
      <c r="J105" s="23" t="s">
        <v>246</v>
      </c>
      <c r="K105" s="23">
        <v>0</v>
      </c>
      <c r="L105" s="23">
        <v>0</v>
      </c>
      <c r="M105" s="23">
        <v>400</v>
      </c>
      <c r="N105" s="135">
        <v>600</v>
      </c>
      <c r="O105" s="23" t="s">
        <v>31</v>
      </c>
      <c r="P105" s="23">
        <f t="shared" si="4"/>
        <v>2400</v>
      </c>
      <c r="Q105" s="217">
        <f t="shared" si="3"/>
        <v>0.25</v>
      </c>
      <c r="R105" s="126" t="e">
        <f>VLOOKUP(G105,#REF!,11,0)*Q105</f>
        <v>#REF!</v>
      </c>
      <c r="S105" s="23" t="s">
        <v>247</v>
      </c>
      <c r="T105" s="23" t="s">
        <v>248</v>
      </c>
      <c r="U105" s="23" t="s">
        <v>31</v>
      </c>
      <c r="V105" s="23" t="s">
        <v>31</v>
      </c>
      <c r="W105" s="23" t="s">
        <v>31</v>
      </c>
      <c r="X105" s="23" t="s">
        <v>31</v>
      </c>
      <c r="Y105" s="23" t="s">
        <v>31</v>
      </c>
      <c r="Z105" s="23" t="s">
        <v>31</v>
      </c>
      <c r="AA105" s="23" t="s">
        <v>31</v>
      </c>
      <c r="AB105" s="23" t="s">
        <v>253</v>
      </c>
      <c r="AC105" s="187"/>
      <c r="AD105" s="187">
        <v>3</v>
      </c>
      <c r="AE105" s="187" t="s">
        <v>402</v>
      </c>
      <c r="AF105" s="187"/>
      <c r="AG105" s="187"/>
      <c r="AH105" s="123" t="str">
        <f>IF(AG105=1,'BU FACILITIES'!$G$24,"")</f>
        <v/>
      </c>
      <c r="AI105" s="187"/>
      <c r="AJ105" s="196"/>
      <c r="AK105" s="120">
        <f>AJ105*'BU FACILITIES'!$G$21</f>
        <v>0</v>
      </c>
      <c r="AL105" s="196">
        <v>0</v>
      </c>
      <c r="AM105" s="121">
        <f>PRODUCT( AL105,'BU FACILITIES'!$G$22)</f>
        <v>0</v>
      </c>
      <c r="AN105" s="187"/>
      <c r="AO105" s="187"/>
      <c r="AP105" s="125" t="str">
        <f>IF(AO105=1,'BU FACILITIES'!$G$23,"")</f>
        <v/>
      </c>
      <c r="AQ105" s="187"/>
      <c r="AR105" s="187"/>
      <c r="AS105" s="122" t="str">
        <f>IF(AR105=300,AQ105*'BU FACILITIES'!$G$4, IF(AND(AR105&gt;300,AR105&lt;=500), AQ105*'BU FACILITIES'!$G$5, IF(AND(AR105&gt;500,AR105&lt;=1250), AQ105*'BU FACILITIES'!$G$6, IF(AND(AR105&gt;1250,AR105&lt;=2000),AQ105*'BU FACILITIES'!$G$7, ""))))</f>
        <v/>
      </c>
      <c r="AT105" s="187"/>
      <c r="AU105" s="187"/>
      <c r="AV105" s="122" t="str">
        <f>IF(AU105=100,AT105*'BU FACILITIES'!$G$8, IF(AND(AU105&gt;100,AU105&lt;=500), AT105*'BU FACILITIES'!$G$9, IF(AND(AU105&gt;500,AU105&lt;=800), AT105*'BU FACILITIES'!$G$10, IF(AND(AU105&gt;800,AU105&lt;=1000),AT105*'BU FACILITIES'!$G$11, IF(AND(AU105&gt;1000,AU105&lt;=1400),AT105*'BU FACILITIES'!$G$12, IF(AND(AU105&gt;1400,AU105&lt;=2000),AT105*'BU FACILITIES'!$G$13,""))))))</f>
        <v/>
      </c>
      <c r="AW105" s="187"/>
      <c r="AX105" s="187"/>
      <c r="AY105" s="122" t="str">
        <f>IF(AX105=30,AW105*'BU FACILITIES'!$G$14, IF(AX105=45, AW105*'BU FACILITIES'!$G$15, IF(AX105=450, AW105*'BU FACILITIES'!$G$16, "")))</f>
        <v/>
      </c>
      <c r="AZ105" s="187"/>
      <c r="BA105" s="187"/>
      <c r="BB105" s="187" t="str">
        <f>IF(AND(BA105&gt;=1,BA105&lt;=5),'BU FACILITIES'!$G$17, IF(AND(BA105&gt;5, BA105&lt;=10), 'BU FACILITIES'!$G$18, IF(AND(BA105&gt;10,BA105&lt;=20),'BU FACILITIES'!$G$19,"")))</f>
        <v/>
      </c>
      <c r="BC105" s="187"/>
      <c r="BD105" s="195" t="str">
        <f>IF(AND(AZ105="Modificar ductería de AA",BC105=1), 'BU FACILITIES'!$G$20, "")</f>
        <v/>
      </c>
    </row>
    <row r="106" spans="1:56" s="3" customFormat="1" hidden="1" x14ac:dyDescent="0.25">
      <c r="A106" s="24" t="s">
        <v>241</v>
      </c>
      <c r="B106" s="23" t="s">
        <v>242</v>
      </c>
      <c r="C106" s="23" t="s">
        <v>243</v>
      </c>
      <c r="D106" s="38" t="s">
        <v>352</v>
      </c>
      <c r="E106" s="23" t="s">
        <v>245</v>
      </c>
      <c r="F106" s="23">
        <v>2023</v>
      </c>
      <c r="G106" s="23" t="s">
        <v>80</v>
      </c>
      <c r="H106" s="23" t="s">
        <v>66</v>
      </c>
      <c r="I106" s="23" t="s">
        <v>457</v>
      </c>
      <c r="J106" s="23" t="s">
        <v>246</v>
      </c>
      <c r="K106" s="23">
        <v>0</v>
      </c>
      <c r="L106" s="23">
        <v>0</v>
      </c>
      <c r="M106" s="23">
        <v>400</v>
      </c>
      <c r="N106" s="152">
        <f>600+400</f>
        <v>1000</v>
      </c>
      <c r="O106" s="23" t="s">
        <v>31</v>
      </c>
      <c r="P106" s="23">
        <f t="shared" si="4"/>
        <v>7650</v>
      </c>
      <c r="Q106" s="217">
        <f t="shared" si="3"/>
        <v>0.13071895424836602</v>
      </c>
      <c r="R106" s="126" t="e">
        <f>VLOOKUP(G106,#REF!,11,0)*Q106</f>
        <v>#REF!</v>
      </c>
      <c r="S106" s="23" t="s">
        <v>247</v>
      </c>
      <c r="T106" s="23" t="s">
        <v>248</v>
      </c>
      <c r="U106" s="23" t="s">
        <v>31</v>
      </c>
      <c r="V106" s="23" t="s">
        <v>31</v>
      </c>
      <c r="W106" s="23" t="s">
        <v>31</v>
      </c>
      <c r="X106" s="23" t="s">
        <v>31</v>
      </c>
      <c r="Y106" s="23" t="s">
        <v>31</v>
      </c>
      <c r="Z106" s="23" t="s">
        <v>31</v>
      </c>
      <c r="AA106" s="23" t="s">
        <v>31</v>
      </c>
      <c r="AB106" s="23" t="s">
        <v>253</v>
      </c>
      <c r="AC106" s="187"/>
      <c r="AD106" s="187">
        <v>2</v>
      </c>
      <c r="AE106" s="187" t="s">
        <v>402</v>
      </c>
      <c r="AF106" s="187"/>
      <c r="AG106" s="187"/>
      <c r="AH106" s="123" t="str">
        <f>IF(AG106=1,'BU FACILITIES'!$G$24,"")</f>
        <v/>
      </c>
      <c r="AI106" s="187"/>
      <c r="AJ106" s="196"/>
      <c r="AK106" s="120">
        <f>AJ106*'BU FACILITIES'!$G$21</f>
        <v>0</v>
      </c>
      <c r="AL106" s="196">
        <v>1</v>
      </c>
      <c r="AM106" s="121">
        <f>PRODUCT( AL106,'BU FACILITIES'!$G$22)</f>
        <v>870.73170731707319</v>
      </c>
      <c r="AN106" s="187"/>
      <c r="AO106" s="187"/>
      <c r="AP106" s="125" t="str">
        <f>IF(AO106=1,'BU FACILITIES'!$G$23,"")</f>
        <v/>
      </c>
      <c r="AQ106" s="187"/>
      <c r="AR106" s="187"/>
      <c r="AS106" s="122" t="str">
        <f>IF(AR106=300,AQ106*'BU FACILITIES'!$G$4, IF(AND(AR106&gt;300,AR106&lt;=500), AQ106*'BU FACILITIES'!$G$5, IF(AND(AR106&gt;500,AR106&lt;=1250), AQ106*'BU FACILITIES'!$G$6, IF(AND(AR106&gt;1250,AR106&lt;=2000),AQ106*'BU FACILITIES'!$G$7, ""))))</f>
        <v/>
      </c>
      <c r="AT106" s="187"/>
      <c r="AU106" s="187"/>
      <c r="AV106" s="122" t="str">
        <f>IF(AU106=100,AT106*'BU FACILITIES'!$G$8, IF(AND(AU106&gt;100,AU106&lt;=500), AT106*'BU FACILITIES'!$G$9, IF(AND(AU106&gt;500,AU106&lt;=800), AT106*'BU FACILITIES'!$G$10, IF(AND(AU106&gt;800,AU106&lt;=1000),AT106*'BU FACILITIES'!$G$11, IF(AND(AU106&gt;1000,AU106&lt;=1400),AT106*'BU FACILITIES'!$G$12, IF(AND(AU106&gt;1400,AU106&lt;=2000),AT106*'BU FACILITIES'!$G$13,""))))))</f>
        <v/>
      </c>
      <c r="AW106" s="187"/>
      <c r="AX106" s="187"/>
      <c r="AY106" s="122" t="str">
        <f>IF(AX106=30,AW106*'BU FACILITIES'!$G$14, IF(AX106=45, AW106*'BU FACILITIES'!$G$15, IF(AX106=450, AW106*'BU FACILITIES'!$G$16, "")))</f>
        <v/>
      </c>
      <c r="AZ106" s="187"/>
      <c r="BA106" s="187"/>
      <c r="BB106" s="187" t="str">
        <f>IF(AND(BA106&gt;=1,BA106&lt;=5),'BU FACILITIES'!$G$17, IF(AND(BA106&gt;5, BA106&lt;=10), 'BU FACILITIES'!$G$18, IF(AND(BA106&gt;10,BA106&lt;=20),'BU FACILITIES'!$G$19,"")))</f>
        <v/>
      </c>
      <c r="BC106" s="187"/>
      <c r="BD106" s="195" t="str">
        <f>IF(AND(AZ106="Modificar ductería de AA",BC106=1), 'BU FACILITIES'!$G$20, "")</f>
        <v/>
      </c>
    </row>
    <row r="107" spans="1:56" s="3" customFormat="1" ht="12.75" hidden="1" x14ac:dyDescent="0.2">
      <c r="A107" s="24" t="s">
        <v>241</v>
      </c>
      <c r="B107" s="23" t="s">
        <v>242</v>
      </c>
      <c r="C107" s="23" t="s">
        <v>243</v>
      </c>
      <c r="D107" s="38" t="s">
        <v>352</v>
      </c>
      <c r="E107" s="23" t="s">
        <v>245</v>
      </c>
      <c r="F107" s="23">
        <v>2023</v>
      </c>
      <c r="G107" s="31" t="s">
        <v>255</v>
      </c>
      <c r="H107" s="23" t="s">
        <v>53</v>
      </c>
      <c r="I107" s="23" t="s">
        <v>31</v>
      </c>
      <c r="J107" s="23" t="s">
        <v>246</v>
      </c>
      <c r="K107" s="23">
        <v>0</v>
      </c>
      <c r="L107" s="23">
        <v>0</v>
      </c>
      <c r="M107" s="23">
        <v>400</v>
      </c>
      <c r="N107" s="135">
        <v>600</v>
      </c>
      <c r="O107" s="23" t="s">
        <v>31</v>
      </c>
      <c r="P107" s="23">
        <f t="shared" si="4"/>
        <v>4400</v>
      </c>
      <c r="Q107" s="217">
        <f t="shared" si="3"/>
        <v>0.13636363636363635</v>
      </c>
      <c r="R107" s="126" t="e">
        <f>VLOOKUP(G107,#REF!,11,0)*Q107</f>
        <v>#REF!</v>
      </c>
      <c r="S107" s="23" t="s">
        <v>247</v>
      </c>
      <c r="T107" s="23" t="s">
        <v>248</v>
      </c>
      <c r="U107" s="23" t="s">
        <v>31</v>
      </c>
      <c r="V107" s="23" t="s">
        <v>31</v>
      </c>
      <c r="W107" s="23" t="s">
        <v>31</v>
      </c>
      <c r="X107" s="23" t="s">
        <v>31</v>
      </c>
      <c r="Y107" s="23" t="s">
        <v>31</v>
      </c>
      <c r="Z107" s="23" t="s">
        <v>31</v>
      </c>
      <c r="AA107" s="23" t="s">
        <v>31</v>
      </c>
      <c r="AB107" s="23" t="s">
        <v>253</v>
      </c>
      <c r="AC107" s="187" t="s">
        <v>548</v>
      </c>
      <c r="AD107" s="187">
        <v>2</v>
      </c>
      <c r="AE107" s="187" t="s">
        <v>402</v>
      </c>
      <c r="AF107" s="187"/>
      <c r="AG107" s="187"/>
      <c r="AH107" s="123" t="str">
        <f>IF(AG107=1,'BU FACILITIES'!$G$24,"")</f>
        <v/>
      </c>
      <c r="AI107" s="187" t="s">
        <v>539</v>
      </c>
      <c r="AJ107" s="196"/>
      <c r="AK107" s="120">
        <f>AJ107*'BU FACILITIES'!$G$21</f>
        <v>0</v>
      </c>
      <c r="AL107" s="196">
        <v>0</v>
      </c>
      <c r="AM107" s="121">
        <f>PRODUCT( AL107,'BU FACILITIES'!$G$22)</f>
        <v>0</v>
      </c>
      <c r="AN107" s="187"/>
      <c r="AO107" s="187"/>
      <c r="AP107" s="125" t="str">
        <f>IF(AO107=1,'BU FACILITIES'!$G$23,"")</f>
        <v/>
      </c>
      <c r="AQ107" s="187">
        <v>0</v>
      </c>
      <c r="AR107" s="187">
        <v>0</v>
      </c>
      <c r="AS107" s="122" t="str">
        <f>IF(AR107=300,AQ107*'BU FACILITIES'!$G$4, IF(AND(AR107&gt;300,AR107&lt;=500), AQ107*'BU FACILITIES'!$G$5, IF(AND(AR107&gt;500,AR107&lt;=1250), AQ107*'BU FACILITIES'!$G$6, IF(AND(AR107&gt;1250,AR107&lt;=2000),AQ107*'BU FACILITIES'!$G$7, ""))))</f>
        <v/>
      </c>
      <c r="AT107" s="187">
        <v>0</v>
      </c>
      <c r="AU107" s="187">
        <v>0</v>
      </c>
      <c r="AV107" s="122" t="str">
        <f>IF(AU107=100,AT107*'BU FACILITIES'!$G$8, IF(AND(AU107&gt;100,AU107&lt;=500), AT107*'BU FACILITIES'!$G$9, IF(AND(AU107&gt;500,AU107&lt;=800), AT107*'BU FACILITIES'!$G$10, IF(AND(AU107&gt;800,AU107&lt;=1000),AT107*'BU FACILITIES'!$G$11, IF(AND(AU107&gt;1000,AU107&lt;=1400),AT107*'BU FACILITIES'!$G$12, IF(AND(AU107&gt;1400,AU107&lt;=2000),AT107*'BU FACILITIES'!$G$13,""))))))</f>
        <v/>
      </c>
      <c r="AW107" s="187">
        <v>0</v>
      </c>
      <c r="AX107" s="187">
        <v>0</v>
      </c>
      <c r="AY107" s="122" t="str">
        <f>IF(AX107=30,AW107*'BU FACILITIES'!$G$14, IF(AX107=45, AW107*'BU FACILITIES'!$G$15, IF(AX107=450, AW107*'BU FACILITIES'!$G$16, "")))</f>
        <v/>
      </c>
      <c r="AZ107" s="187">
        <v>0</v>
      </c>
      <c r="BA107" s="187">
        <v>0</v>
      </c>
      <c r="BB107" s="187" t="str">
        <f>IF(AND(BA107&gt;=1,BA107&lt;=5),'BU FACILITIES'!$G$17, IF(AND(BA107&gt;5, BA107&lt;=10), 'BU FACILITIES'!$G$18, IF(AND(BA107&gt;10,BA107&lt;=20),'BU FACILITIES'!$G$19,"")))</f>
        <v/>
      </c>
      <c r="BC107" s="187"/>
      <c r="BD107" s="195" t="str">
        <f>IF(AND(AZ107="Modificar ductería de AA",BC107=1), 'BU FACILITIES'!$G$20, "")</f>
        <v/>
      </c>
    </row>
    <row r="108" spans="1:56" s="3" customFormat="1" ht="12.75" hidden="1" x14ac:dyDescent="0.2">
      <c r="A108" s="24" t="s">
        <v>241</v>
      </c>
      <c r="B108" s="23" t="s">
        <v>242</v>
      </c>
      <c r="C108" s="23" t="s">
        <v>243</v>
      </c>
      <c r="D108" s="38" t="s">
        <v>352</v>
      </c>
      <c r="E108" s="23" t="s">
        <v>245</v>
      </c>
      <c r="F108" s="23">
        <v>2023</v>
      </c>
      <c r="G108" s="23" t="s">
        <v>256</v>
      </c>
      <c r="H108" s="23" t="s">
        <v>135</v>
      </c>
      <c r="I108" s="23" t="s">
        <v>31</v>
      </c>
      <c r="J108" s="23" t="s">
        <v>246</v>
      </c>
      <c r="K108" s="23">
        <v>0</v>
      </c>
      <c r="L108" s="23">
        <v>0</v>
      </c>
      <c r="M108" s="23">
        <v>400</v>
      </c>
      <c r="N108" s="135">
        <v>600</v>
      </c>
      <c r="O108" s="23" t="s">
        <v>31</v>
      </c>
      <c r="P108" s="23">
        <f t="shared" si="4"/>
        <v>1800</v>
      </c>
      <c r="Q108" s="217">
        <f t="shared" si="3"/>
        <v>0.33333333333333331</v>
      </c>
      <c r="R108" s="126" t="e">
        <f>VLOOKUP(G108,#REF!,11,0)*Q108</f>
        <v>#REF!</v>
      </c>
      <c r="S108" s="23" t="s">
        <v>247</v>
      </c>
      <c r="T108" s="23" t="s">
        <v>248</v>
      </c>
      <c r="U108" s="23" t="s">
        <v>31</v>
      </c>
      <c r="V108" s="23" t="s">
        <v>31</v>
      </c>
      <c r="W108" s="23" t="s">
        <v>31</v>
      </c>
      <c r="X108" s="23" t="s">
        <v>31</v>
      </c>
      <c r="Y108" s="23" t="s">
        <v>31</v>
      </c>
      <c r="Z108" s="23" t="s">
        <v>31</v>
      </c>
      <c r="AA108" s="23" t="s">
        <v>31</v>
      </c>
      <c r="AB108" s="23" t="s">
        <v>253</v>
      </c>
      <c r="AC108" s="187" t="s">
        <v>527</v>
      </c>
      <c r="AD108" s="187">
        <v>3</v>
      </c>
      <c r="AE108" s="187" t="s">
        <v>402</v>
      </c>
      <c r="AF108" s="187"/>
      <c r="AG108" s="187"/>
      <c r="AH108" s="123" t="str">
        <f>IF(AG108=1,'BU FACILITIES'!$G$24,"")</f>
        <v/>
      </c>
      <c r="AI108" s="187"/>
      <c r="AJ108" s="196"/>
      <c r="AK108" s="120">
        <f>AJ108*'BU FACILITIES'!$G$21</f>
        <v>0</v>
      </c>
      <c r="AL108" s="196">
        <v>0</v>
      </c>
      <c r="AM108" s="121">
        <f>PRODUCT( AL108,'BU FACILITIES'!$G$22)</f>
        <v>0</v>
      </c>
      <c r="AN108" s="187"/>
      <c r="AO108" s="187"/>
      <c r="AP108" s="125" t="str">
        <f>IF(AO108=1,'BU FACILITIES'!$G$23,"")</f>
        <v/>
      </c>
      <c r="AQ108" s="187"/>
      <c r="AR108" s="187"/>
      <c r="AS108" s="122" t="str">
        <f>IF(AR108=300,AQ108*'BU FACILITIES'!$G$4, IF(AND(AR108&gt;300,AR108&lt;=500), AQ108*'BU FACILITIES'!$G$5, IF(AND(AR108&gt;500,AR108&lt;=1250), AQ108*'BU FACILITIES'!$G$6, IF(AND(AR108&gt;1250,AR108&lt;=2000),AQ108*'BU FACILITIES'!$G$7, ""))))</f>
        <v/>
      </c>
      <c r="AT108" s="187"/>
      <c r="AU108" s="187"/>
      <c r="AV108" s="122" t="str">
        <f>IF(AU108=100,AT108*'BU FACILITIES'!$G$8, IF(AND(AU108&gt;100,AU108&lt;=500), AT108*'BU FACILITIES'!$G$9, IF(AND(AU108&gt;500,AU108&lt;=800), AT108*'BU FACILITIES'!$G$10, IF(AND(AU108&gt;800,AU108&lt;=1000),AT108*'BU FACILITIES'!$G$11, IF(AND(AU108&gt;1000,AU108&lt;=1400),AT108*'BU FACILITIES'!$G$12, IF(AND(AU108&gt;1400,AU108&lt;=2000),AT108*'BU FACILITIES'!$G$13,""))))))</f>
        <v/>
      </c>
      <c r="AW108" s="187"/>
      <c r="AX108" s="187"/>
      <c r="AY108" s="122" t="str">
        <f>IF(AX108=30,AW108*'BU FACILITIES'!$G$14, IF(AX108=45, AW108*'BU FACILITIES'!$G$15, IF(AX108=450, AW108*'BU FACILITIES'!$G$16, "")))</f>
        <v/>
      </c>
      <c r="AZ108" s="187"/>
      <c r="BA108" s="187"/>
      <c r="BB108" s="187" t="str">
        <f>IF(AND(BA108&gt;=1,BA108&lt;=5),'BU FACILITIES'!$G$17, IF(AND(BA108&gt;5, BA108&lt;=10), 'BU FACILITIES'!$G$18, IF(AND(BA108&gt;10,BA108&lt;=20),'BU FACILITIES'!$G$19,"")))</f>
        <v/>
      </c>
      <c r="BC108" s="187"/>
      <c r="BD108" s="195" t="str">
        <f>IF(AND(AZ108="Modificar ductería de AA",BC108=1), 'BU FACILITIES'!$G$20, "")</f>
        <v/>
      </c>
    </row>
    <row r="109" spans="1:56" s="3" customFormat="1" ht="12.75" hidden="1" x14ac:dyDescent="0.2">
      <c r="A109" s="24" t="s">
        <v>241</v>
      </c>
      <c r="B109" s="23" t="s">
        <v>242</v>
      </c>
      <c r="C109" s="23" t="s">
        <v>243</v>
      </c>
      <c r="D109" s="38" t="s">
        <v>352</v>
      </c>
      <c r="E109" s="23" t="s">
        <v>245</v>
      </c>
      <c r="F109" s="23">
        <v>2023</v>
      </c>
      <c r="G109" s="23" t="s">
        <v>84</v>
      </c>
      <c r="H109" s="23" t="s">
        <v>49</v>
      </c>
      <c r="I109" s="23" t="s">
        <v>31</v>
      </c>
      <c r="J109" s="23" t="s">
        <v>185</v>
      </c>
      <c r="K109" s="23">
        <v>0</v>
      </c>
      <c r="L109" s="23">
        <v>0</v>
      </c>
      <c r="M109" s="23">
        <v>400</v>
      </c>
      <c r="N109" s="135">
        <v>600</v>
      </c>
      <c r="O109" s="23" t="s">
        <v>31</v>
      </c>
      <c r="P109" s="23">
        <f t="shared" si="4"/>
        <v>600</v>
      </c>
      <c r="Q109" s="217">
        <f t="shared" si="3"/>
        <v>1</v>
      </c>
      <c r="R109" s="126" t="e">
        <f>VLOOKUP(G109,#REF!,11,0)*Q109</f>
        <v>#REF!</v>
      </c>
      <c r="S109" s="23" t="s">
        <v>247</v>
      </c>
      <c r="T109" s="23" t="s">
        <v>248</v>
      </c>
      <c r="U109" s="23" t="s">
        <v>31</v>
      </c>
      <c r="V109" s="23" t="s">
        <v>31</v>
      </c>
      <c r="W109" s="23" t="s">
        <v>31</v>
      </c>
      <c r="X109" s="23" t="s">
        <v>31</v>
      </c>
      <c r="Y109" s="23" t="s">
        <v>31</v>
      </c>
      <c r="Z109" s="23" t="s">
        <v>31</v>
      </c>
      <c r="AA109" s="23" t="s">
        <v>31</v>
      </c>
      <c r="AB109" s="23" t="s">
        <v>253</v>
      </c>
      <c r="AC109" s="187"/>
      <c r="AD109" s="187" t="s">
        <v>437</v>
      </c>
      <c r="AE109" s="187" t="s">
        <v>407</v>
      </c>
      <c r="AF109" s="187"/>
      <c r="AG109" s="187"/>
      <c r="AH109" s="123" t="str">
        <f>IF(AG109=1,'BU FACILITIES'!$G$24,"")</f>
        <v/>
      </c>
      <c r="AI109" s="187"/>
      <c r="AJ109" s="196"/>
      <c r="AK109" s="120">
        <f>AJ109*'BU FACILITIES'!$G$21</f>
        <v>0</v>
      </c>
      <c r="AL109" s="196">
        <v>0</v>
      </c>
      <c r="AM109" s="121">
        <f>PRODUCT( AL109,'BU FACILITIES'!$G$22)</f>
        <v>0</v>
      </c>
      <c r="AN109" s="187"/>
      <c r="AO109" s="187"/>
      <c r="AP109" s="125" t="str">
        <f>IF(AO109=1,'BU FACILITIES'!$G$23,"")</f>
        <v/>
      </c>
      <c r="AQ109" s="187"/>
      <c r="AR109" s="187"/>
      <c r="AS109" s="122" t="str">
        <f>IF(AR109=300,AQ109*'BU FACILITIES'!$G$4, IF(AND(AR109&gt;300,AR109&lt;=500), AQ109*'BU FACILITIES'!$G$5, IF(AND(AR109&gt;500,AR109&lt;=1250), AQ109*'BU FACILITIES'!$G$6, IF(AND(AR109&gt;1250,AR109&lt;=2000),AQ109*'BU FACILITIES'!$G$7, ""))))</f>
        <v/>
      </c>
      <c r="AT109" s="187"/>
      <c r="AU109" s="187"/>
      <c r="AV109" s="122" t="str">
        <f>IF(AU109=100,AT109*'BU FACILITIES'!$G$8, IF(AND(AU109&gt;100,AU109&lt;=500), AT109*'BU FACILITIES'!$G$9, IF(AND(AU109&gt;500,AU109&lt;=800), AT109*'BU FACILITIES'!$G$10, IF(AND(AU109&gt;800,AU109&lt;=1000),AT109*'BU FACILITIES'!$G$11, IF(AND(AU109&gt;1000,AU109&lt;=1400),AT109*'BU FACILITIES'!$G$12, IF(AND(AU109&gt;1400,AU109&lt;=2000),AT109*'BU FACILITIES'!$G$13,""))))))</f>
        <v/>
      </c>
      <c r="AW109" s="187"/>
      <c r="AX109" s="187"/>
      <c r="AY109" s="122" t="str">
        <f>IF(AX109=30,AW109*'BU FACILITIES'!$G$14, IF(AX109=45, AW109*'BU FACILITIES'!$G$15, IF(AX109=450, AW109*'BU FACILITIES'!$G$16, "")))</f>
        <v/>
      </c>
      <c r="AZ109" s="187"/>
      <c r="BA109" s="187"/>
      <c r="BB109" s="187" t="str">
        <f>IF(AND(BA109&gt;=1,BA109&lt;=5),'BU FACILITIES'!$G$17, IF(AND(BA109&gt;5, BA109&lt;=10), 'BU FACILITIES'!$G$18, IF(AND(BA109&gt;10,BA109&lt;=20),'BU FACILITIES'!$G$19,"")))</f>
        <v/>
      </c>
      <c r="BC109" s="187"/>
      <c r="BD109" s="195" t="str">
        <f>IF(AND(AZ109="Modificar ductería de AA",BC109=1), 'BU FACILITIES'!$G$20, "")</f>
        <v/>
      </c>
    </row>
    <row r="110" spans="1:56" s="3" customFormat="1" ht="12.75" hidden="1" x14ac:dyDescent="0.2">
      <c r="A110" s="24" t="s">
        <v>241</v>
      </c>
      <c r="B110" s="23" t="s">
        <v>242</v>
      </c>
      <c r="C110" s="23" t="s">
        <v>243</v>
      </c>
      <c r="D110" s="38" t="s">
        <v>352</v>
      </c>
      <c r="E110" s="23" t="s">
        <v>245</v>
      </c>
      <c r="F110" s="23">
        <v>2023</v>
      </c>
      <c r="G110" s="23" t="s">
        <v>37</v>
      </c>
      <c r="H110" s="23" t="s">
        <v>66</v>
      </c>
      <c r="I110" s="23" t="s">
        <v>457</v>
      </c>
      <c r="J110" s="23" t="s">
        <v>258</v>
      </c>
      <c r="K110" s="23">
        <v>1</v>
      </c>
      <c r="L110" s="23">
        <v>0</v>
      </c>
      <c r="M110" s="23">
        <v>400</v>
      </c>
      <c r="N110" s="135">
        <v>600</v>
      </c>
      <c r="O110" s="23" t="s">
        <v>31</v>
      </c>
      <c r="P110" s="23">
        <f t="shared" si="4"/>
        <v>1800</v>
      </c>
      <c r="Q110" s="217">
        <f t="shared" ref="Q110:Q141" si="5">IF(N110&lt;&gt;0,N110/P110,"0")</f>
        <v>0.33333333333333331</v>
      </c>
      <c r="R110" s="126" t="e">
        <f>VLOOKUP(G110,#REF!,11,0)*Q110</f>
        <v>#REF!</v>
      </c>
      <c r="S110" s="23" t="s">
        <v>247</v>
      </c>
      <c r="T110" s="23" t="s">
        <v>259</v>
      </c>
      <c r="U110" s="23">
        <v>2</v>
      </c>
      <c r="V110" s="23" t="s">
        <v>31</v>
      </c>
      <c r="W110" s="23" t="s">
        <v>31</v>
      </c>
      <c r="X110" s="23" t="s">
        <v>31</v>
      </c>
      <c r="Y110" s="23" t="s">
        <v>31</v>
      </c>
      <c r="Z110" s="23" t="s">
        <v>31</v>
      </c>
      <c r="AA110" s="23" t="s">
        <v>31</v>
      </c>
      <c r="AB110" s="23" t="s">
        <v>260</v>
      </c>
      <c r="AC110" s="187"/>
      <c r="AD110" s="187">
        <v>4</v>
      </c>
      <c r="AE110" s="187" t="s">
        <v>402</v>
      </c>
      <c r="AF110" s="187"/>
      <c r="AG110" s="187"/>
      <c r="AH110" s="123" t="str">
        <f>IF(AG110=1,'BU FACILITIES'!$G$24,"")</f>
        <v/>
      </c>
      <c r="AI110" s="187"/>
      <c r="AJ110" s="196"/>
      <c r="AK110" s="120">
        <f>AJ110*'BU FACILITIES'!$G$21</f>
        <v>0</v>
      </c>
      <c r="AL110" s="196">
        <v>1</v>
      </c>
      <c r="AM110" s="121">
        <f>PRODUCT( AL110,'BU FACILITIES'!$G$22)</f>
        <v>870.73170731707319</v>
      </c>
      <c r="AN110" s="187"/>
      <c r="AO110" s="187"/>
      <c r="AP110" s="125" t="str">
        <f>IF(AO110=1,'BU FACILITIES'!$G$23,"")</f>
        <v/>
      </c>
      <c r="AQ110" s="187"/>
      <c r="AR110" s="187"/>
      <c r="AS110" s="122" t="str">
        <f>IF(AR110=300,AQ110*'BU FACILITIES'!$G$4, IF(AND(AR110&gt;300,AR110&lt;=500), AQ110*'BU FACILITIES'!$G$5, IF(AND(AR110&gt;500,AR110&lt;=1250), AQ110*'BU FACILITIES'!$G$6, IF(AND(AR110&gt;1250,AR110&lt;=2000),AQ110*'BU FACILITIES'!$G$7, ""))))</f>
        <v/>
      </c>
      <c r="AT110" s="187"/>
      <c r="AU110" s="187"/>
      <c r="AV110" s="122" t="str">
        <f>IF(AU110=100,AT110*'BU FACILITIES'!$G$8, IF(AND(AU110&gt;100,AU110&lt;=500), AT110*'BU FACILITIES'!$G$9, IF(AND(AU110&gt;500,AU110&lt;=800), AT110*'BU FACILITIES'!$G$10, IF(AND(AU110&gt;800,AU110&lt;=1000),AT110*'BU FACILITIES'!$G$11, IF(AND(AU110&gt;1000,AU110&lt;=1400),AT110*'BU FACILITIES'!$G$12, IF(AND(AU110&gt;1400,AU110&lt;=2000),AT110*'BU FACILITIES'!$G$13,""))))))</f>
        <v/>
      </c>
      <c r="AW110" s="187"/>
      <c r="AX110" s="187"/>
      <c r="AY110" s="122" t="str">
        <f>IF(AX110=30,AW110*'BU FACILITIES'!$G$14, IF(AX110=45, AW110*'BU FACILITIES'!$G$15, IF(AX110=450, AW110*'BU FACILITIES'!$G$16, "")))</f>
        <v/>
      </c>
      <c r="AZ110" s="187"/>
      <c r="BA110" s="187"/>
      <c r="BB110" s="187" t="str">
        <f>IF(AND(BA110&gt;=1,BA110&lt;=5),'BU FACILITIES'!$G$17, IF(AND(BA110&gt;5, BA110&lt;=10), 'BU FACILITIES'!$G$18, IF(AND(BA110&gt;10,BA110&lt;=20),'BU FACILITIES'!$G$19,"")))</f>
        <v/>
      </c>
      <c r="BC110" s="187"/>
      <c r="BD110" s="195" t="str">
        <f>IF(AND(AZ110="Modificar ductería de AA",BC110=1), 'BU FACILITIES'!$G$20, "")</f>
        <v/>
      </c>
    </row>
    <row r="111" spans="1:56" s="3" customFormat="1" ht="12.75" hidden="1" x14ac:dyDescent="0.2">
      <c r="A111" s="24" t="s">
        <v>241</v>
      </c>
      <c r="B111" s="23" t="s">
        <v>242</v>
      </c>
      <c r="C111" s="23" t="s">
        <v>243</v>
      </c>
      <c r="D111" s="38" t="s">
        <v>352</v>
      </c>
      <c r="E111" s="23" t="s">
        <v>245</v>
      </c>
      <c r="F111" s="23">
        <v>2023</v>
      </c>
      <c r="G111" s="23" t="s">
        <v>72</v>
      </c>
      <c r="H111" s="23" t="s">
        <v>66</v>
      </c>
      <c r="I111" s="23" t="s">
        <v>457</v>
      </c>
      <c r="J111" s="23" t="s">
        <v>258</v>
      </c>
      <c r="K111" s="23">
        <v>1</v>
      </c>
      <c r="L111" s="23">
        <v>0</v>
      </c>
      <c r="M111" s="23">
        <v>400</v>
      </c>
      <c r="N111" s="135">
        <v>600</v>
      </c>
      <c r="O111" s="23" t="s">
        <v>31</v>
      </c>
      <c r="P111" s="23">
        <f t="shared" si="4"/>
        <v>2400</v>
      </c>
      <c r="Q111" s="217">
        <f t="shared" si="5"/>
        <v>0.25</v>
      </c>
      <c r="R111" s="126" t="e">
        <f>VLOOKUP(G111,#REF!,11,0)*Q111</f>
        <v>#REF!</v>
      </c>
      <c r="S111" s="23" t="s">
        <v>247</v>
      </c>
      <c r="T111" s="23" t="s">
        <v>259</v>
      </c>
      <c r="U111" s="23">
        <v>2</v>
      </c>
      <c r="V111" s="23" t="s">
        <v>31</v>
      </c>
      <c r="W111" s="23" t="s">
        <v>31</v>
      </c>
      <c r="X111" s="23" t="s">
        <v>31</v>
      </c>
      <c r="Y111" s="23" t="s">
        <v>31</v>
      </c>
      <c r="Z111" s="23" t="s">
        <v>31</v>
      </c>
      <c r="AA111" s="23" t="s">
        <v>31</v>
      </c>
      <c r="AB111" s="23" t="s">
        <v>260</v>
      </c>
      <c r="AC111" s="187"/>
      <c r="AD111" s="187">
        <v>3</v>
      </c>
      <c r="AE111" s="187" t="s">
        <v>460</v>
      </c>
      <c r="AF111" s="187"/>
      <c r="AG111" s="187"/>
      <c r="AH111" s="123" t="str">
        <f>IF(AG111=1,'BU FACILITIES'!$G$24,"")</f>
        <v/>
      </c>
      <c r="AI111" s="187"/>
      <c r="AJ111" s="196"/>
      <c r="AK111" s="120">
        <f>AJ111*'BU FACILITIES'!$G$21</f>
        <v>0</v>
      </c>
      <c r="AL111" s="196">
        <v>1</v>
      </c>
      <c r="AM111" s="121">
        <f>PRODUCT( AL111,'BU FACILITIES'!$G$22)</f>
        <v>870.73170731707319</v>
      </c>
      <c r="AN111" s="187"/>
      <c r="AO111" s="187"/>
      <c r="AP111" s="125" t="str">
        <f>IF(AO111=1,'BU FACILITIES'!$G$23,"")</f>
        <v/>
      </c>
      <c r="AQ111" s="187"/>
      <c r="AR111" s="187"/>
      <c r="AS111" s="122" t="str">
        <f>IF(AR111=300,AQ111*'BU FACILITIES'!$G$4, IF(AND(AR111&gt;300,AR111&lt;=500), AQ111*'BU FACILITIES'!$G$5, IF(AND(AR111&gt;500,AR111&lt;=1250), AQ111*'BU FACILITIES'!$G$6, IF(AND(AR111&gt;1250,AR111&lt;=2000),AQ111*'BU FACILITIES'!$G$7, ""))))</f>
        <v/>
      </c>
      <c r="AT111" s="187"/>
      <c r="AU111" s="187"/>
      <c r="AV111" s="122" t="str">
        <f>IF(AU111=100,AT111*'BU FACILITIES'!$G$8, IF(AND(AU111&gt;100,AU111&lt;=500), AT111*'BU FACILITIES'!$G$9, IF(AND(AU111&gt;500,AU111&lt;=800), AT111*'BU FACILITIES'!$G$10, IF(AND(AU111&gt;800,AU111&lt;=1000),AT111*'BU FACILITIES'!$G$11, IF(AND(AU111&gt;1000,AU111&lt;=1400),AT111*'BU FACILITIES'!$G$12, IF(AND(AU111&gt;1400,AU111&lt;=2000),AT111*'BU FACILITIES'!$G$13,""))))))</f>
        <v/>
      </c>
      <c r="AW111" s="187"/>
      <c r="AX111" s="187"/>
      <c r="AY111" s="122" t="str">
        <f>IF(AX111=30,AW111*'BU FACILITIES'!$G$14, IF(AX111=45, AW111*'BU FACILITIES'!$G$15, IF(AX111=450, AW111*'BU FACILITIES'!$G$16, "")))</f>
        <v/>
      </c>
      <c r="AZ111" s="187"/>
      <c r="BA111" s="187"/>
      <c r="BB111" s="187" t="str">
        <f>IF(AND(BA111&gt;=1,BA111&lt;=5),'BU FACILITIES'!$G$17, IF(AND(BA111&gt;5, BA111&lt;=10), 'BU FACILITIES'!$G$18, IF(AND(BA111&gt;10,BA111&lt;=20),'BU FACILITIES'!$G$19,"")))</f>
        <v/>
      </c>
      <c r="BC111" s="187"/>
      <c r="BD111" s="195" t="str">
        <f>IF(AND(AZ111="Modificar ductería de AA",BC111=1), 'BU FACILITIES'!$G$20, "")</f>
        <v/>
      </c>
    </row>
    <row r="112" spans="1:56" s="3" customFormat="1" ht="12.75" hidden="1" x14ac:dyDescent="0.2">
      <c r="A112" s="24" t="s">
        <v>241</v>
      </c>
      <c r="B112" s="23" t="s">
        <v>242</v>
      </c>
      <c r="C112" s="23" t="s">
        <v>243</v>
      </c>
      <c r="D112" s="38" t="s">
        <v>352</v>
      </c>
      <c r="E112" s="23" t="s">
        <v>245</v>
      </c>
      <c r="F112" s="23">
        <v>2023</v>
      </c>
      <c r="G112" s="23" t="s">
        <v>131</v>
      </c>
      <c r="H112" s="23" t="s">
        <v>131</v>
      </c>
      <c r="I112" s="23" t="s">
        <v>457</v>
      </c>
      <c r="J112" s="23" t="s">
        <v>258</v>
      </c>
      <c r="K112" s="23">
        <v>1</v>
      </c>
      <c r="L112" s="23">
        <v>0</v>
      </c>
      <c r="M112" s="23">
        <v>400</v>
      </c>
      <c r="N112" s="135">
        <v>600</v>
      </c>
      <c r="O112" s="23" t="s">
        <v>31</v>
      </c>
      <c r="P112" s="23">
        <f t="shared" si="4"/>
        <v>4050</v>
      </c>
      <c r="Q112" s="217">
        <f t="shared" si="5"/>
        <v>0.14814814814814814</v>
      </c>
      <c r="R112" s="222" t="e">
        <f>VLOOKUP(G112,#REF!,11,0)*Q112</f>
        <v>#REF!</v>
      </c>
      <c r="S112" s="23" t="s">
        <v>247</v>
      </c>
      <c r="T112" s="23" t="s">
        <v>259</v>
      </c>
      <c r="U112" s="23">
        <v>2</v>
      </c>
      <c r="V112" s="23" t="s">
        <v>31</v>
      </c>
      <c r="W112" s="23" t="s">
        <v>31</v>
      </c>
      <c r="X112" s="23" t="s">
        <v>31</v>
      </c>
      <c r="Y112" s="23" t="s">
        <v>31</v>
      </c>
      <c r="Z112" s="23" t="s">
        <v>31</v>
      </c>
      <c r="AA112" s="23" t="s">
        <v>31</v>
      </c>
      <c r="AB112" s="23" t="s">
        <v>260</v>
      </c>
      <c r="AC112" s="187"/>
      <c r="AD112" s="187"/>
      <c r="AE112" s="187" t="s">
        <v>460</v>
      </c>
      <c r="AF112" s="187"/>
      <c r="AG112" s="187"/>
      <c r="AH112" s="123" t="str">
        <f>IF(AG112=1,'BU FACILITIES'!$G$24,"")</f>
        <v/>
      </c>
      <c r="AI112" s="187"/>
      <c r="AJ112" s="196"/>
      <c r="AK112" s="120">
        <f>AJ112*'BU FACILITIES'!$G$21</f>
        <v>0</v>
      </c>
      <c r="AL112" s="196">
        <v>1</v>
      </c>
      <c r="AM112" s="121">
        <f>PRODUCT( AL112,'BU FACILITIES'!$G$22)</f>
        <v>870.73170731707319</v>
      </c>
      <c r="AN112" s="187"/>
      <c r="AO112" s="187"/>
      <c r="AP112" s="125" t="str">
        <f>IF(AO112=1,'BU FACILITIES'!$G$23,"")</f>
        <v/>
      </c>
      <c r="AQ112" s="187"/>
      <c r="AR112" s="187"/>
      <c r="AS112" s="122" t="str">
        <f>IF(AR112=300,AQ112*'BU FACILITIES'!$G$4, IF(AND(AR112&gt;300,AR112&lt;=500), AQ112*'BU FACILITIES'!$G$5, IF(AND(AR112&gt;500,AR112&lt;=1250), AQ112*'BU FACILITIES'!$G$6, IF(AND(AR112&gt;1250,AR112&lt;=2000),AQ112*'BU FACILITIES'!$G$7, ""))))</f>
        <v/>
      </c>
      <c r="AT112" s="187"/>
      <c r="AU112" s="187"/>
      <c r="AV112" s="122" t="str">
        <f>IF(AU112=100,AT112*'BU FACILITIES'!$G$8, IF(AND(AU112&gt;100,AU112&lt;=500), AT112*'BU FACILITIES'!$G$9, IF(AND(AU112&gt;500,AU112&lt;=800), AT112*'BU FACILITIES'!$G$10, IF(AND(AU112&gt;800,AU112&lt;=1000),AT112*'BU FACILITIES'!$G$11, IF(AND(AU112&gt;1000,AU112&lt;=1400),AT112*'BU FACILITIES'!$G$12, IF(AND(AU112&gt;1400,AU112&lt;=2000),AT112*'BU FACILITIES'!$G$13,""))))))</f>
        <v/>
      </c>
      <c r="AW112" s="187"/>
      <c r="AX112" s="187"/>
      <c r="AY112" s="122" t="str">
        <f>IF(AX112=30,AW112*'BU FACILITIES'!$G$14, IF(AX112=45, AW112*'BU FACILITIES'!$G$15, IF(AX112=450, AW112*'BU FACILITIES'!$G$16, "")))</f>
        <v/>
      </c>
      <c r="AZ112" s="187"/>
      <c r="BA112" s="187"/>
      <c r="BB112" s="187" t="str">
        <f>IF(AND(BA112&gt;=1,BA112&lt;=5),'BU FACILITIES'!$G$17, IF(AND(BA112&gt;5, BA112&lt;=10), 'BU FACILITIES'!$G$18, IF(AND(BA112&gt;10,BA112&lt;=20),'BU FACILITIES'!$G$19,"")))</f>
        <v/>
      </c>
      <c r="BC112" s="187"/>
      <c r="BD112" s="195" t="str">
        <f>IF(AND(AZ112="Modificar ductería de AA",BC112=1), 'BU FACILITIES'!$G$20, "")</f>
        <v/>
      </c>
    </row>
    <row r="113" spans="1:57" s="3" customFormat="1" ht="12.75" hidden="1" x14ac:dyDescent="0.2">
      <c r="A113" s="24" t="s">
        <v>241</v>
      </c>
      <c r="B113" s="23" t="s">
        <v>242</v>
      </c>
      <c r="C113" s="23" t="s">
        <v>243</v>
      </c>
      <c r="D113" s="38" t="s">
        <v>352</v>
      </c>
      <c r="E113" s="23" t="s">
        <v>245</v>
      </c>
      <c r="F113" s="23">
        <v>2023</v>
      </c>
      <c r="G113" s="23" t="s">
        <v>124</v>
      </c>
      <c r="H113" s="23" t="s">
        <v>66</v>
      </c>
      <c r="I113" s="23" t="s">
        <v>457</v>
      </c>
      <c r="J113" s="23" t="s">
        <v>258</v>
      </c>
      <c r="K113" s="23">
        <v>1</v>
      </c>
      <c r="L113" s="23">
        <v>0</v>
      </c>
      <c r="M113" s="23">
        <v>400</v>
      </c>
      <c r="N113" s="135">
        <v>600</v>
      </c>
      <c r="O113" s="23" t="s">
        <v>31</v>
      </c>
      <c r="P113" s="23">
        <f t="shared" si="4"/>
        <v>1200</v>
      </c>
      <c r="Q113" s="217">
        <f t="shared" si="5"/>
        <v>0.5</v>
      </c>
      <c r="R113" s="126" t="e">
        <f>VLOOKUP(G113,#REF!,11,0)*Q113</f>
        <v>#REF!</v>
      </c>
      <c r="S113" s="23" t="s">
        <v>247</v>
      </c>
      <c r="T113" s="23" t="s">
        <v>259</v>
      </c>
      <c r="U113" s="23">
        <v>2</v>
      </c>
      <c r="V113" s="23" t="s">
        <v>31</v>
      </c>
      <c r="W113" s="23" t="s">
        <v>31</v>
      </c>
      <c r="X113" s="23" t="s">
        <v>31</v>
      </c>
      <c r="Y113" s="23" t="s">
        <v>31</v>
      </c>
      <c r="Z113" s="23" t="s">
        <v>31</v>
      </c>
      <c r="AA113" s="23" t="s">
        <v>31</v>
      </c>
      <c r="AB113" s="23" t="s">
        <v>260</v>
      </c>
      <c r="AC113" s="187"/>
      <c r="AD113" s="187">
        <v>3</v>
      </c>
      <c r="AE113" s="187" t="s">
        <v>460</v>
      </c>
      <c r="AF113" s="187"/>
      <c r="AG113" s="187"/>
      <c r="AH113" s="123" t="str">
        <f>IF(AG113=1,'BU FACILITIES'!$G$24,"")</f>
        <v/>
      </c>
      <c r="AI113" s="187"/>
      <c r="AJ113" s="196"/>
      <c r="AK113" s="120">
        <f>AJ113*'BU FACILITIES'!$G$21</f>
        <v>0</v>
      </c>
      <c r="AL113" s="196">
        <v>1</v>
      </c>
      <c r="AM113" s="121">
        <f>PRODUCT( AL113,'BU FACILITIES'!$G$22)</f>
        <v>870.73170731707319</v>
      </c>
      <c r="AN113" s="187"/>
      <c r="AO113" s="187"/>
      <c r="AP113" s="125" t="str">
        <f>IF(AO113=1,'BU FACILITIES'!$G$23,"")</f>
        <v/>
      </c>
      <c r="AQ113" s="187"/>
      <c r="AR113" s="187"/>
      <c r="AS113" s="122" t="str">
        <f>IF(AR113=300,AQ113*'BU FACILITIES'!$G$4, IF(AND(AR113&gt;300,AR113&lt;=500), AQ113*'BU FACILITIES'!$G$5, IF(AND(AR113&gt;500,AR113&lt;=1250), AQ113*'BU FACILITIES'!$G$6, IF(AND(AR113&gt;1250,AR113&lt;=2000),AQ113*'BU FACILITIES'!$G$7, ""))))</f>
        <v/>
      </c>
      <c r="AT113" s="187"/>
      <c r="AU113" s="187"/>
      <c r="AV113" s="122" t="str">
        <f>IF(AU113=100,AT113*'BU FACILITIES'!$G$8, IF(AND(AU113&gt;100,AU113&lt;=500), AT113*'BU FACILITIES'!$G$9, IF(AND(AU113&gt;500,AU113&lt;=800), AT113*'BU FACILITIES'!$G$10, IF(AND(AU113&gt;800,AU113&lt;=1000),AT113*'BU FACILITIES'!$G$11, IF(AND(AU113&gt;1000,AU113&lt;=1400),AT113*'BU FACILITIES'!$G$12, IF(AND(AU113&gt;1400,AU113&lt;=2000),AT113*'BU FACILITIES'!$G$13,""))))))</f>
        <v/>
      </c>
      <c r="AW113" s="187"/>
      <c r="AX113" s="187"/>
      <c r="AY113" s="122" t="str">
        <f>IF(AX113=30,AW113*'BU FACILITIES'!$G$14, IF(AX113=45, AW113*'BU FACILITIES'!$G$15, IF(AX113=450, AW113*'BU FACILITIES'!$G$16, "")))</f>
        <v/>
      </c>
      <c r="AZ113" s="187"/>
      <c r="BA113" s="187"/>
      <c r="BB113" s="187" t="str">
        <f>IF(AND(BA113&gt;=1,BA113&lt;=5),'BU FACILITIES'!$G$17, IF(AND(BA113&gt;5, BA113&lt;=10), 'BU FACILITIES'!$G$18, IF(AND(BA113&gt;10,BA113&lt;=20),'BU FACILITIES'!$G$19,"")))</f>
        <v/>
      </c>
      <c r="BC113" s="187"/>
      <c r="BD113" s="195" t="str">
        <f>IF(AND(AZ113="Modificar ductería de AA",BC113=1), 'BU FACILITIES'!$G$20, "")</f>
        <v/>
      </c>
    </row>
    <row r="114" spans="1:57" s="3" customFormat="1" ht="12.75" hidden="1" x14ac:dyDescent="0.2">
      <c r="A114" s="24" t="s">
        <v>241</v>
      </c>
      <c r="B114" s="23" t="s">
        <v>242</v>
      </c>
      <c r="C114" s="23" t="s">
        <v>243</v>
      </c>
      <c r="D114" s="38" t="s">
        <v>352</v>
      </c>
      <c r="E114" s="23" t="s">
        <v>245</v>
      </c>
      <c r="F114" s="23">
        <v>2023</v>
      </c>
      <c r="G114" s="148" t="s">
        <v>262</v>
      </c>
      <c r="H114" s="23" t="s">
        <v>66</v>
      </c>
      <c r="I114" s="23" t="s">
        <v>457</v>
      </c>
      <c r="J114" s="23" t="s">
        <v>258</v>
      </c>
      <c r="K114" s="23">
        <v>1</v>
      </c>
      <c r="L114" s="23">
        <v>0</v>
      </c>
      <c r="M114" s="23">
        <v>400</v>
      </c>
      <c r="N114" s="135">
        <v>600</v>
      </c>
      <c r="O114" s="23" t="s">
        <v>31</v>
      </c>
      <c r="P114" s="23">
        <f t="shared" si="4"/>
        <v>1800</v>
      </c>
      <c r="Q114" s="217">
        <f t="shared" si="5"/>
        <v>0.33333333333333331</v>
      </c>
      <c r="R114" s="126" t="e">
        <f>VLOOKUP(G114,#REF!,11,0)*Q114</f>
        <v>#REF!</v>
      </c>
      <c r="S114" s="23" t="s">
        <v>247</v>
      </c>
      <c r="T114" s="23" t="s">
        <v>259</v>
      </c>
      <c r="U114" s="23">
        <v>2</v>
      </c>
      <c r="V114" s="23" t="s">
        <v>31</v>
      </c>
      <c r="W114" s="23" t="s">
        <v>31</v>
      </c>
      <c r="X114" s="23" t="s">
        <v>31</v>
      </c>
      <c r="Y114" s="23" t="s">
        <v>31</v>
      </c>
      <c r="Z114" s="23" t="s">
        <v>31</v>
      </c>
      <c r="AA114" s="23" t="s">
        <v>31</v>
      </c>
      <c r="AB114" s="23" t="s">
        <v>260</v>
      </c>
      <c r="AC114" s="187" t="s">
        <v>549</v>
      </c>
      <c r="AD114" s="187">
        <v>5</v>
      </c>
      <c r="AE114" s="187" t="s">
        <v>402</v>
      </c>
      <c r="AF114" s="187"/>
      <c r="AG114" s="187"/>
      <c r="AH114" s="123" t="str">
        <f>IF(AG114=1,'BU FACILITIES'!$G$24,"")</f>
        <v/>
      </c>
      <c r="AI114" s="187"/>
      <c r="AJ114" s="196"/>
      <c r="AK114" s="120">
        <f>AJ114*'BU FACILITIES'!$G$21</f>
        <v>0</v>
      </c>
      <c r="AL114" s="196">
        <v>1</v>
      </c>
      <c r="AM114" s="121">
        <f>PRODUCT( AL114,'BU FACILITIES'!$G$22)</f>
        <v>870.73170731707319</v>
      </c>
      <c r="AN114" s="187"/>
      <c r="AO114" s="187"/>
      <c r="AP114" s="125" t="str">
        <f>IF(AO114=1,'BU FACILITIES'!$G$23,"")</f>
        <v/>
      </c>
      <c r="AQ114" s="187">
        <v>0.2</v>
      </c>
      <c r="AR114" s="187">
        <v>1000</v>
      </c>
      <c r="AS114" s="123">
        <f>IF(AR114=300,AQ114*'BU FACILITIES'!$G$4, IF(AND(AR114&gt;300,AR114&lt;=500), AQ114*'BU FACILITIES'!$G$5, IF(AND(AR114&gt;500,AR114&lt;=1250), AQ114*'BU FACILITIES'!$G$6, IF(AND(AR114&gt;1250,AR114&lt;=2000),AQ114*'BU FACILITIES'!$G$7, ""))))</f>
        <v>3716.4975609756098</v>
      </c>
      <c r="AT114" s="187">
        <v>0.5</v>
      </c>
      <c r="AU114" s="187">
        <v>1000</v>
      </c>
      <c r="AV114" s="122">
        <f>IF(AU114=100,AT114*'BU FACILITIES'!$G$8, IF(AND(AU114&gt;100,AU114&lt;=500), AT114*'BU FACILITIES'!$G$9, IF(AND(AU114&gt;500,AU114&lt;=800), AT114*'BU FACILITIES'!$G$10, IF(AND(AU114&gt;800,AU114&lt;=1000),AT114*'BU FACILITIES'!$G$11, IF(AND(AU114&gt;1000,AU114&lt;=1400),AT114*'BU FACILITIES'!$G$12, IF(AND(AU114&gt;1400,AU114&lt;=2000),AT114*'BU FACILITIES'!$G$13,""))))))</f>
        <v>6415.9552220137584</v>
      </c>
      <c r="AW114" s="187"/>
      <c r="AX114" s="187"/>
      <c r="AY114" s="122" t="str">
        <f>IF(AX114=30,AW114*'BU FACILITIES'!$G$14, IF(AX114=45, AW114*'BU FACILITIES'!$G$15, IF(AX114=450, AW114*'BU FACILITIES'!$G$16, "")))</f>
        <v/>
      </c>
      <c r="AZ114" s="187"/>
      <c r="BA114" s="187"/>
      <c r="BB114" s="187" t="str">
        <f>IF(AND(BA114&gt;=1,BA114&lt;=5),'BU FACILITIES'!$G$17, IF(AND(BA114&gt;5, BA114&lt;=10), 'BU FACILITIES'!$G$18, IF(AND(BA114&gt;10,BA114&lt;=20),'BU FACILITIES'!$G$19,"")))</f>
        <v/>
      </c>
      <c r="BC114" s="187"/>
      <c r="BD114" s="195" t="str">
        <f>IF(AND(AZ114="Modificar ductería de AA",BC114=1), 'BU FACILITIES'!$G$20, "")</f>
        <v/>
      </c>
      <c r="BE114" s="3" t="s">
        <v>480</v>
      </c>
    </row>
    <row r="115" spans="1:57" s="3" customFormat="1" ht="12.75" hidden="1" x14ac:dyDescent="0.2">
      <c r="A115" s="24" t="s">
        <v>241</v>
      </c>
      <c r="B115" s="23" t="s">
        <v>242</v>
      </c>
      <c r="C115" s="23" t="s">
        <v>243</v>
      </c>
      <c r="D115" s="38" t="s">
        <v>352</v>
      </c>
      <c r="E115" s="23" t="s">
        <v>245</v>
      </c>
      <c r="F115" s="23">
        <v>2023</v>
      </c>
      <c r="G115" s="23" t="s">
        <v>41</v>
      </c>
      <c r="H115" s="23" t="s">
        <v>66</v>
      </c>
      <c r="I115" s="23" t="s">
        <v>457</v>
      </c>
      <c r="J115" s="23" t="s">
        <v>258</v>
      </c>
      <c r="K115" s="23">
        <v>1</v>
      </c>
      <c r="L115" s="23">
        <v>0</v>
      </c>
      <c r="M115" s="23">
        <v>400</v>
      </c>
      <c r="N115" s="135">
        <v>600</v>
      </c>
      <c r="O115" s="23" t="s">
        <v>31</v>
      </c>
      <c r="P115" s="23">
        <f t="shared" si="4"/>
        <v>4050</v>
      </c>
      <c r="Q115" s="217">
        <f t="shared" si="5"/>
        <v>0.14814814814814814</v>
      </c>
      <c r="R115" s="126" t="e">
        <f>VLOOKUP(G115,#REF!,11,0)*Q115</f>
        <v>#REF!</v>
      </c>
      <c r="S115" s="23" t="s">
        <v>247</v>
      </c>
      <c r="T115" s="23" t="s">
        <v>259</v>
      </c>
      <c r="U115" s="23">
        <v>2</v>
      </c>
      <c r="V115" s="23" t="s">
        <v>31</v>
      </c>
      <c r="W115" s="23" t="s">
        <v>31</v>
      </c>
      <c r="X115" s="23" t="s">
        <v>31</v>
      </c>
      <c r="Y115" s="23" t="s">
        <v>31</v>
      </c>
      <c r="Z115" s="23" t="s">
        <v>31</v>
      </c>
      <c r="AA115" s="23" t="s">
        <v>31</v>
      </c>
      <c r="AB115" s="23" t="s">
        <v>260</v>
      </c>
      <c r="AC115" s="187" t="s">
        <v>519</v>
      </c>
      <c r="AD115" s="187">
        <v>5</v>
      </c>
      <c r="AE115" s="187" t="s">
        <v>460</v>
      </c>
      <c r="AF115" s="187"/>
      <c r="AG115" s="187"/>
      <c r="AH115" s="123" t="str">
        <f>IF(AG115=1,'BU FACILITIES'!$G$24,"")</f>
        <v/>
      </c>
      <c r="AI115" s="187"/>
      <c r="AJ115" s="196"/>
      <c r="AK115" s="120">
        <f>AJ115*'BU FACILITIES'!$G$21</f>
        <v>0</v>
      </c>
      <c r="AL115" s="196">
        <v>1</v>
      </c>
      <c r="AM115" s="121">
        <f>PRODUCT( AL115,'BU FACILITIES'!$G$22)</f>
        <v>870.73170731707319</v>
      </c>
      <c r="AN115" s="187"/>
      <c r="AO115" s="187"/>
      <c r="AP115" s="125" t="str">
        <f>IF(AO115=1,'BU FACILITIES'!$G$23,"")</f>
        <v/>
      </c>
      <c r="AQ115" s="187"/>
      <c r="AR115" s="187"/>
      <c r="AS115" s="122" t="str">
        <f>IF(AR115=300,AQ115*'BU FACILITIES'!$G$4, IF(AND(AR115&gt;300,AR115&lt;=500), AQ115*'BU FACILITIES'!$G$5, IF(AND(AR115&gt;500,AR115&lt;=1250), AQ115*'BU FACILITIES'!$G$6, IF(AND(AR115&gt;1250,AR115&lt;=2000),AQ115*'BU FACILITIES'!$G$7, ""))))</f>
        <v/>
      </c>
      <c r="AT115" s="187"/>
      <c r="AU115" s="187"/>
      <c r="AV115" s="122" t="str">
        <f>IF(AU115=100,AT115*'BU FACILITIES'!$G$8, IF(AND(AU115&gt;100,AU115&lt;=500), AT115*'BU FACILITIES'!$G$9, IF(AND(AU115&gt;500,AU115&lt;=800), AT115*'BU FACILITIES'!$G$10, IF(AND(AU115&gt;800,AU115&lt;=1000),AT115*'BU FACILITIES'!$G$11, IF(AND(AU115&gt;1000,AU115&lt;=1400),AT115*'BU FACILITIES'!$G$12, IF(AND(AU115&gt;1400,AU115&lt;=2000),AT115*'BU FACILITIES'!$G$13,""))))))</f>
        <v/>
      </c>
      <c r="AW115" s="187"/>
      <c r="AX115" s="187"/>
      <c r="AY115" s="122" t="str">
        <f>IF(AX115=30,AW115*'BU FACILITIES'!$G$14, IF(AX115=45, AW115*'BU FACILITIES'!$G$15, IF(AX115=450, AW115*'BU FACILITIES'!$G$16, "")))</f>
        <v/>
      </c>
      <c r="AZ115" s="187"/>
      <c r="BA115" s="187"/>
      <c r="BB115" s="187" t="str">
        <f>IF(AND(BA115&gt;=1,BA115&lt;=5),'BU FACILITIES'!$G$17, IF(AND(BA115&gt;5, BA115&lt;=10), 'BU FACILITIES'!$G$18, IF(AND(BA115&gt;10,BA115&lt;=20),'BU FACILITIES'!$G$19,"")))</f>
        <v/>
      </c>
      <c r="BC115" s="187"/>
      <c r="BD115" s="195" t="str">
        <f>IF(AND(AZ115="Modificar ductería de AA",BC115=1), 'BU FACILITIES'!$G$20, "")</f>
        <v/>
      </c>
    </row>
    <row r="116" spans="1:57" s="3" customFormat="1" ht="12.75" hidden="1" x14ac:dyDescent="0.2">
      <c r="A116" s="24" t="s">
        <v>241</v>
      </c>
      <c r="B116" s="23" t="s">
        <v>242</v>
      </c>
      <c r="C116" s="23" t="s">
        <v>243</v>
      </c>
      <c r="D116" s="38" t="s">
        <v>352</v>
      </c>
      <c r="E116" s="23" t="s">
        <v>245</v>
      </c>
      <c r="F116" s="23">
        <v>2023</v>
      </c>
      <c r="G116" s="23" t="s">
        <v>65</v>
      </c>
      <c r="H116" s="82" t="s">
        <v>65</v>
      </c>
      <c r="I116" s="80" t="s">
        <v>457</v>
      </c>
      <c r="J116" s="23" t="s">
        <v>258</v>
      </c>
      <c r="K116" s="23">
        <v>1</v>
      </c>
      <c r="L116" s="23">
        <v>0</v>
      </c>
      <c r="M116" s="23">
        <v>400</v>
      </c>
      <c r="N116" s="135">
        <v>600</v>
      </c>
      <c r="O116" s="23" t="s">
        <v>31</v>
      </c>
      <c r="P116" s="23">
        <f t="shared" si="4"/>
        <v>4050</v>
      </c>
      <c r="Q116" s="217">
        <f t="shared" si="5"/>
        <v>0.14814814814814814</v>
      </c>
      <c r="R116" s="126" t="e">
        <f>VLOOKUP(G116,#REF!,11,0)*Q116</f>
        <v>#REF!</v>
      </c>
      <c r="S116" s="23" t="s">
        <v>247</v>
      </c>
      <c r="T116" s="23" t="s">
        <v>259</v>
      </c>
      <c r="U116" s="23">
        <v>2</v>
      </c>
      <c r="V116" s="23" t="s">
        <v>31</v>
      </c>
      <c r="W116" s="23" t="s">
        <v>31</v>
      </c>
      <c r="X116" s="23" t="s">
        <v>31</v>
      </c>
      <c r="Y116" s="23" t="s">
        <v>31</v>
      </c>
      <c r="Z116" s="23" t="s">
        <v>31</v>
      </c>
      <c r="AA116" s="23" t="s">
        <v>31</v>
      </c>
      <c r="AB116" s="23" t="s">
        <v>260</v>
      </c>
      <c r="AC116" s="187"/>
      <c r="AD116" s="187">
        <v>4</v>
      </c>
      <c r="AE116" s="187" t="s">
        <v>402</v>
      </c>
      <c r="AF116" s="187"/>
      <c r="AG116" s="187"/>
      <c r="AH116" s="123" t="str">
        <f>IF(AG116=1,'BU FACILITIES'!$G$24,"")</f>
        <v/>
      </c>
      <c r="AI116" s="187"/>
      <c r="AJ116" s="196"/>
      <c r="AK116" s="120">
        <f>AJ116*'BU FACILITIES'!$G$21</f>
        <v>0</v>
      </c>
      <c r="AL116" s="196">
        <v>1</v>
      </c>
      <c r="AM116" s="121">
        <f>PRODUCT( AL116,'BU FACILITIES'!$G$22)</f>
        <v>870.73170731707319</v>
      </c>
      <c r="AN116" s="187"/>
      <c r="AO116" s="187"/>
      <c r="AP116" s="125" t="str">
        <f>IF(AO116=1,'BU FACILITIES'!$G$23,"")</f>
        <v/>
      </c>
      <c r="AQ116" s="187"/>
      <c r="AR116" s="187"/>
      <c r="AS116" s="122" t="str">
        <f>IF(AR116=300,AQ116*'BU FACILITIES'!$G$4, IF(AND(AR116&gt;300,AR116&lt;=500), AQ116*'BU FACILITIES'!$G$5, IF(AND(AR116&gt;500,AR116&lt;=1250), AQ116*'BU FACILITIES'!$G$6, IF(AND(AR116&gt;1250,AR116&lt;=2000),AQ116*'BU FACILITIES'!$G$7, ""))))</f>
        <v/>
      </c>
      <c r="AT116" s="187"/>
      <c r="AU116" s="187"/>
      <c r="AV116" s="122" t="str">
        <f>IF(AU116=100,AT116*'BU FACILITIES'!$G$8, IF(AND(AU116&gt;100,AU116&lt;=500), AT116*'BU FACILITIES'!$G$9, IF(AND(AU116&gt;500,AU116&lt;=800), AT116*'BU FACILITIES'!$G$10, IF(AND(AU116&gt;800,AU116&lt;=1000),AT116*'BU FACILITIES'!$G$11, IF(AND(AU116&gt;1000,AU116&lt;=1400),AT116*'BU FACILITIES'!$G$12, IF(AND(AU116&gt;1400,AU116&lt;=2000),AT116*'BU FACILITIES'!$G$13,""))))))</f>
        <v/>
      </c>
      <c r="AW116" s="187"/>
      <c r="AX116" s="187"/>
      <c r="AY116" s="122" t="str">
        <f>IF(AX116=30,AW116*'BU FACILITIES'!$G$14, IF(AX116=45, AW116*'BU FACILITIES'!$G$15, IF(AX116=450, AW116*'BU FACILITIES'!$G$16, "")))</f>
        <v/>
      </c>
      <c r="AZ116" s="187"/>
      <c r="BA116" s="187"/>
      <c r="BB116" s="187" t="str">
        <f>IF(AND(BA116&gt;=1,BA116&lt;=5),'BU FACILITIES'!$G$17, IF(AND(BA116&gt;5, BA116&lt;=10), 'BU FACILITIES'!$G$18, IF(AND(BA116&gt;10,BA116&lt;=20),'BU FACILITIES'!$G$19,"")))</f>
        <v/>
      </c>
      <c r="BC116" s="187"/>
      <c r="BD116" s="195" t="str">
        <f>IF(AND(AZ116="Modificar ductería de AA",BC116=1), 'BU FACILITIES'!$G$20, "")</f>
        <v/>
      </c>
    </row>
    <row r="117" spans="1:57" s="3" customFormat="1" ht="12.75" hidden="1" x14ac:dyDescent="0.2">
      <c r="A117" s="24" t="s">
        <v>241</v>
      </c>
      <c r="B117" s="23" t="s">
        <v>242</v>
      </c>
      <c r="C117" s="23" t="s">
        <v>243</v>
      </c>
      <c r="D117" s="38" t="s">
        <v>352</v>
      </c>
      <c r="E117" s="23" t="s">
        <v>245</v>
      </c>
      <c r="F117" s="23">
        <v>2023</v>
      </c>
      <c r="G117" s="23" t="s">
        <v>68</v>
      </c>
      <c r="H117" s="23" t="s">
        <v>68</v>
      </c>
      <c r="I117" s="27" t="s">
        <v>457</v>
      </c>
      <c r="J117" s="23" t="s">
        <v>258</v>
      </c>
      <c r="K117" s="23">
        <v>1</v>
      </c>
      <c r="L117" s="23">
        <v>0</v>
      </c>
      <c r="M117" s="23">
        <v>400</v>
      </c>
      <c r="N117" s="135">
        <v>600</v>
      </c>
      <c r="O117" s="23" t="s">
        <v>31</v>
      </c>
      <c r="P117" s="23">
        <f t="shared" si="4"/>
        <v>1200</v>
      </c>
      <c r="Q117" s="217">
        <f t="shared" si="5"/>
        <v>0.5</v>
      </c>
      <c r="R117" s="126" t="e">
        <f>VLOOKUP(G117,#REF!,11,0)*Q117</f>
        <v>#REF!</v>
      </c>
      <c r="S117" s="23" t="s">
        <v>247</v>
      </c>
      <c r="T117" s="23" t="s">
        <v>259</v>
      </c>
      <c r="U117" s="23">
        <v>2</v>
      </c>
      <c r="V117" s="23" t="s">
        <v>31</v>
      </c>
      <c r="W117" s="23" t="s">
        <v>31</v>
      </c>
      <c r="X117" s="23" t="s">
        <v>31</v>
      </c>
      <c r="Y117" s="23" t="s">
        <v>31</v>
      </c>
      <c r="Z117" s="23" t="s">
        <v>31</v>
      </c>
      <c r="AA117" s="23" t="s">
        <v>31</v>
      </c>
      <c r="AB117" s="23" t="s">
        <v>260</v>
      </c>
      <c r="AC117" s="166"/>
      <c r="AD117" s="187">
        <v>4</v>
      </c>
      <c r="AE117" s="187" t="s">
        <v>402</v>
      </c>
      <c r="AF117" s="187"/>
      <c r="AG117" s="187"/>
      <c r="AH117" s="123" t="str">
        <f>IF(AG117=1,'BU FACILITIES'!$G$24,"")</f>
        <v/>
      </c>
      <c r="AI117" s="187"/>
      <c r="AJ117" s="196"/>
      <c r="AK117" s="120">
        <f>AJ117*'BU FACILITIES'!$G$21</f>
        <v>0</v>
      </c>
      <c r="AL117" s="196">
        <v>1</v>
      </c>
      <c r="AM117" s="121">
        <f>PRODUCT( AL117,'BU FACILITIES'!$G$22)</f>
        <v>870.73170731707319</v>
      </c>
      <c r="AN117" s="187"/>
      <c r="AO117" s="187"/>
      <c r="AP117" s="125" t="str">
        <f>IF(AO117=1,'BU FACILITIES'!$G$23,"")</f>
        <v/>
      </c>
      <c r="AQ117" s="187"/>
      <c r="AR117" s="187"/>
      <c r="AS117" s="122" t="str">
        <f>IF(AR117=300,AQ117*'BU FACILITIES'!$G$4, IF(AND(AR117&gt;300,AR117&lt;=500), AQ117*'BU FACILITIES'!$G$5, IF(AND(AR117&gt;500,AR117&lt;=1250), AQ117*'BU FACILITIES'!$G$6, IF(AND(AR117&gt;1250,AR117&lt;=2000),AQ117*'BU FACILITIES'!$G$7, ""))))</f>
        <v/>
      </c>
      <c r="AT117" s="187"/>
      <c r="AU117" s="187"/>
      <c r="AV117" s="122" t="str">
        <f>IF(AU117=100,AT117*'BU FACILITIES'!$G$8, IF(AND(AU117&gt;100,AU117&lt;=500), AT117*'BU FACILITIES'!$G$9, IF(AND(AU117&gt;500,AU117&lt;=800), AT117*'BU FACILITIES'!$G$10, IF(AND(AU117&gt;800,AU117&lt;=1000),AT117*'BU FACILITIES'!$G$11, IF(AND(AU117&gt;1000,AU117&lt;=1400),AT117*'BU FACILITIES'!$G$12, IF(AND(AU117&gt;1400,AU117&lt;=2000),AT117*'BU FACILITIES'!$G$13,""))))))</f>
        <v/>
      </c>
      <c r="AW117" s="187"/>
      <c r="AX117" s="187"/>
      <c r="AY117" s="122" t="str">
        <f>IF(AX117=30,AW117*'BU FACILITIES'!$G$14, IF(AX117=45, AW117*'BU FACILITIES'!$G$15, IF(AX117=450, AW117*'BU FACILITIES'!$G$16, "")))</f>
        <v/>
      </c>
      <c r="AZ117" s="187"/>
      <c r="BA117" s="187"/>
      <c r="BB117" s="187" t="str">
        <f>IF(AND(BA117&gt;=1,BA117&lt;=5),'BU FACILITIES'!$G$17, IF(AND(BA117&gt;5, BA117&lt;=10), 'BU FACILITIES'!$G$18, IF(AND(BA117&gt;10,BA117&lt;=20),'BU FACILITIES'!$G$19,"")))</f>
        <v/>
      </c>
      <c r="BC117" s="187"/>
      <c r="BD117" s="195" t="str">
        <f>IF(AND(AZ117="Modificar ductería de AA",BC117=1), 'BU FACILITIES'!$G$20, "")</f>
        <v/>
      </c>
    </row>
    <row r="118" spans="1:57" s="3" customFormat="1" ht="12.75" hidden="1" x14ac:dyDescent="0.2">
      <c r="A118" s="24" t="s">
        <v>241</v>
      </c>
      <c r="B118" s="23" t="s">
        <v>242</v>
      </c>
      <c r="C118" s="23" t="s">
        <v>243</v>
      </c>
      <c r="D118" s="38" t="s">
        <v>352</v>
      </c>
      <c r="E118" s="23" t="s">
        <v>245</v>
      </c>
      <c r="F118" s="23">
        <v>2023</v>
      </c>
      <c r="G118" s="23" t="s">
        <v>71</v>
      </c>
      <c r="H118" s="23" t="s">
        <v>57</v>
      </c>
      <c r="I118" s="23" t="s">
        <v>31</v>
      </c>
      <c r="J118" s="23" t="s">
        <v>258</v>
      </c>
      <c r="K118" s="23">
        <v>1</v>
      </c>
      <c r="L118" s="23">
        <v>0</v>
      </c>
      <c r="M118" s="23">
        <v>400</v>
      </c>
      <c r="N118" s="135">
        <v>600</v>
      </c>
      <c r="O118" s="23" t="s">
        <v>31</v>
      </c>
      <c r="P118" s="23">
        <f t="shared" si="4"/>
        <v>1800</v>
      </c>
      <c r="Q118" s="217">
        <f t="shared" si="5"/>
        <v>0.33333333333333331</v>
      </c>
      <c r="R118" s="126" t="e">
        <f>VLOOKUP(G118,#REF!,11,0)*Q118</f>
        <v>#REF!</v>
      </c>
      <c r="S118" s="23" t="s">
        <v>247</v>
      </c>
      <c r="T118" s="23" t="s">
        <v>259</v>
      </c>
      <c r="U118" s="23">
        <v>2</v>
      </c>
      <c r="V118" s="23" t="s">
        <v>31</v>
      </c>
      <c r="W118" s="23" t="s">
        <v>31</v>
      </c>
      <c r="X118" s="23" t="s">
        <v>31</v>
      </c>
      <c r="Y118" s="23" t="s">
        <v>31</v>
      </c>
      <c r="Z118" s="23" t="s">
        <v>31</v>
      </c>
      <c r="AA118" s="23" t="s">
        <v>31</v>
      </c>
      <c r="AB118" s="23" t="s">
        <v>260</v>
      </c>
      <c r="AC118" s="187" t="s">
        <v>472</v>
      </c>
      <c r="AD118" s="187" t="s">
        <v>473</v>
      </c>
      <c r="AE118" s="187" t="s">
        <v>402</v>
      </c>
      <c r="AF118" s="187"/>
      <c r="AG118" s="187"/>
      <c r="AH118" s="123" t="str">
        <f>IF(AG118=1,'BU FACILITIES'!$G$24,"")</f>
        <v/>
      </c>
      <c r="AI118" s="187"/>
      <c r="AJ118" s="196"/>
      <c r="AK118" s="120">
        <f>AJ118*'BU FACILITIES'!$G$21</f>
        <v>0</v>
      </c>
      <c r="AL118" s="196">
        <v>1</v>
      </c>
      <c r="AM118" s="121">
        <f>PRODUCT( AL118,'BU FACILITIES'!$G$22)</f>
        <v>870.73170731707319</v>
      </c>
      <c r="AN118" s="187"/>
      <c r="AO118" s="187"/>
      <c r="AP118" s="125" t="str">
        <f>IF(AO118=1,'BU FACILITIES'!$G$23,"")</f>
        <v/>
      </c>
      <c r="AQ118" s="187"/>
      <c r="AR118" s="187"/>
      <c r="AS118" s="122" t="str">
        <f>IF(AR118=300,AQ118*'BU FACILITIES'!$G$4, IF(AND(AR118&gt;300,AR118&lt;=500), AQ118*'BU FACILITIES'!$G$5, IF(AND(AR118&gt;500,AR118&lt;=1250), AQ118*'BU FACILITIES'!$G$6, IF(AND(AR118&gt;1250,AR118&lt;=2000),AQ118*'BU FACILITIES'!$G$7, ""))))</f>
        <v/>
      </c>
      <c r="AT118" s="187"/>
      <c r="AU118" s="187"/>
      <c r="AV118" s="122" t="str">
        <f>IF(AU118=100,AT118*'BU FACILITIES'!$G$8, IF(AND(AU118&gt;100,AU118&lt;=500), AT118*'BU FACILITIES'!$G$9, IF(AND(AU118&gt;500,AU118&lt;=800), AT118*'BU FACILITIES'!$G$10, IF(AND(AU118&gt;800,AU118&lt;=1000),AT118*'BU FACILITIES'!$G$11, IF(AND(AU118&gt;1000,AU118&lt;=1400),AT118*'BU FACILITIES'!$G$12, IF(AND(AU118&gt;1400,AU118&lt;=2000),AT118*'BU FACILITIES'!$G$13,""))))))</f>
        <v/>
      </c>
      <c r="AW118" s="187"/>
      <c r="AX118" s="187"/>
      <c r="AY118" s="122" t="str">
        <f>IF(AX118=30,AW118*'BU FACILITIES'!$G$14, IF(AX118=45, AW118*'BU FACILITIES'!$G$15, IF(AX118=450, AW118*'BU FACILITIES'!$G$16, "")))</f>
        <v/>
      </c>
      <c r="AZ118" s="187"/>
      <c r="BA118" s="187"/>
      <c r="BB118" s="187" t="str">
        <f>IF(AND(BA118&gt;=1,BA118&lt;=5),'BU FACILITIES'!$G$17, IF(AND(BA118&gt;5, BA118&lt;=10), 'BU FACILITIES'!$G$18, IF(AND(BA118&gt;10,BA118&lt;=20),'BU FACILITIES'!$G$19,"")))</f>
        <v/>
      </c>
      <c r="BC118" s="187"/>
      <c r="BD118" s="195" t="str">
        <f>IF(AND(AZ118="Modificar ductería de AA",BC118=1), 'BU FACILITIES'!$G$20, "")</f>
        <v/>
      </c>
    </row>
    <row r="119" spans="1:57" s="3" customFormat="1" ht="12.75" hidden="1" x14ac:dyDescent="0.2">
      <c r="A119" s="24" t="s">
        <v>241</v>
      </c>
      <c r="B119" s="23" t="s">
        <v>242</v>
      </c>
      <c r="C119" s="23" t="s">
        <v>243</v>
      </c>
      <c r="D119" s="38" t="s">
        <v>352</v>
      </c>
      <c r="E119" s="23" t="s">
        <v>245</v>
      </c>
      <c r="F119" s="23">
        <v>2023</v>
      </c>
      <c r="G119" s="23" t="s">
        <v>123</v>
      </c>
      <c r="H119" s="23" t="s">
        <v>66</v>
      </c>
      <c r="I119" s="23" t="s">
        <v>457</v>
      </c>
      <c r="J119" s="23" t="s">
        <v>258</v>
      </c>
      <c r="K119" s="23">
        <v>1</v>
      </c>
      <c r="L119" s="23">
        <v>0</v>
      </c>
      <c r="M119" s="23">
        <v>400</v>
      </c>
      <c r="N119" s="135">
        <v>600</v>
      </c>
      <c r="O119" s="23" t="s">
        <v>31</v>
      </c>
      <c r="P119" s="23">
        <f t="shared" si="4"/>
        <v>4050</v>
      </c>
      <c r="Q119" s="217">
        <f t="shared" si="5"/>
        <v>0.14814814814814814</v>
      </c>
      <c r="R119" s="126" t="e">
        <f>VLOOKUP(G119,#REF!,11,0)*Q119</f>
        <v>#REF!</v>
      </c>
      <c r="S119" s="23" t="s">
        <v>247</v>
      </c>
      <c r="T119" s="23" t="s">
        <v>259</v>
      </c>
      <c r="U119" s="23">
        <v>2</v>
      </c>
      <c r="V119" s="23" t="s">
        <v>31</v>
      </c>
      <c r="W119" s="23" t="s">
        <v>31</v>
      </c>
      <c r="X119" s="23" t="s">
        <v>31</v>
      </c>
      <c r="Y119" s="23" t="s">
        <v>31</v>
      </c>
      <c r="Z119" s="23" t="s">
        <v>31</v>
      </c>
      <c r="AA119" s="23" t="s">
        <v>31</v>
      </c>
      <c r="AB119" s="23" t="s">
        <v>260</v>
      </c>
      <c r="AC119" s="187"/>
      <c r="AD119" s="187">
        <v>4</v>
      </c>
      <c r="AE119" s="187" t="s">
        <v>402</v>
      </c>
      <c r="AF119" s="187"/>
      <c r="AG119" s="187"/>
      <c r="AH119" s="123" t="str">
        <f>IF(AG119=1,'BU FACILITIES'!$G$24,"")</f>
        <v/>
      </c>
      <c r="AI119" s="187"/>
      <c r="AJ119" s="196"/>
      <c r="AK119" s="120">
        <f>AJ119*'BU FACILITIES'!$G$21</f>
        <v>0</v>
      </c>
      <c r="AL119" s="196">
        <v>1</v>
      </c>
      <c r="AM119" s="121">
        <f>PRODUCT( AL119,'BU FACILITIES'!$G$22)</f>
        <v>870.73170731707319</v>
      </c>
      <c r="AN119" s="187"/>
      <c r="AO119" s="187"/>
      <c r="AP119" s="125" t="str">
        <f>IF(AO119=1,'BU FACILITIES'!$G$23,"")</f>
        <v/>
      </c>
      <c r="AQ119" s="187"/>
      <c r="AR119" s="187"/>
      <c r="AS119" s="122" t="str">
        <f>IF(AR119=300,AQ119*'BU FACILITIES'!$G$4, IF(AND(AR119&gt;300,AR119&lt;=500), AQ119*'BU FACILITIES'!$G$5, IF(AND(AR119&gt;500,AR119&lt;=1250), AQ119*'BU FACILITIES'!$G$6, IF(AND(AR119&gt;1250,AR119&lt;=2000),AQ119*'BU FACILITIES'!$G$7, ""))))</f>
        <v/>
      </c>
      <c r="AT119" s="187"/>
      <c r="AU119" s="187"/>
      <c r="AV119" s="122" t="str">
        <f>IF(AU119=100,AT119*'BU FACILITIES'!$G$8, IF(AND(AU119&gt;100,AU119&lt;=500), AT119*'BU FACILITIES'!$G$9, IF(AND(AU119&gt;500,AU119&lt;=800), AT119*'BU FACILITIES'!$G$10, IF(AND(AU119&gt;800,AU119&lt;=1000),AT119*'BU FACILITIES'!$G$11, IF(AND(AU119&gt;1000,AU119&lt;=1400),AT119*'BU FACILITIES'!$G$12, IF(AND(AU119&gt;1400,AU119&lt;=2000),AT119*'BU FACILITIES'!$G$13,""))))))</f>
        <v/>
      </c>
      <c r="AW119" s="187"/>
      <c r="AX119" s="187"/>
      <c r="AY119" s="122" t="str">
        <f>IF(AX119=30,AW119*'BU FACILITIES'!$G$14, IF(AX119=45, AW119*'BU FACILITIES'!$G$15, IF(AX119=450, AW119*'BU FACILITIES'!$G$16, "")))</f>
        <v/>
      </c>
      <c r="AZ119" s="187"/>
      <c r="BA119" s="187"/>
      <c r="BB119" s="187" t="str">
        <f>IF(AND(BA119&gt;=1,BA119&lt;=5),'BU FACILITIES'!$G$17, IF(AND(BA119&gt;5, BA119&lt;=10), 'BU FACILITIES'!$G$18, IF(AND(BA119&gt;10,BA119&lt;=20),'BU FACILITIES'!$G$19,"")))</f>
        <v/>
      </c>
      <c r="BC119" s="187"/>
      <c r="BD119" s="195" t="str">
        <f>IF(AND(AZ119="Modificar ductería de AA",BC119=1), 'BU FACILITIES'!$G$20, "")</f>
        <v/>
      </c>
    </row>
    <row r="120" spans="1:57" s="3" customFormat="1" ht="12.75" hidden="1" x14ac:dyDescent="0.2">
      <c r="A120" s="24" t="s">
        <v>241</v>
      </c>
      <c r="B120" s="23" t="s">
        <v>242</v>
      </c>
      <c r="C120" s="23" t="s">
        <v>243</v>
      </c>
      <c r="D120" s="38" t="s">
        <v>352</v>
      </c>
      <c r="E120" s="23" t="s">
        <v>245</v>
      </c>
      <c r="F120" s="23">
        <v>2023</v>
      </c>
      <c r="G120" s="23" t="s">
        <v>256</v>
      </c>
      <c r="H120" s="23" t="s">
        <v>135</v>
      </c>
      <c r="I120" s="23" t="s">
        <v>31</v>
      </c>
      <c r="J120" s="23" t="s">
        <v>258</v>
      </c>
      <c r="K120" s="23">
        <v>1</v>
      </c>
      <c r="L120" s="23">
        <v>0</v>
      </c>
      <c r="M120" s="23">
        <v>400</v>
      </c>
      <c r="N120" s="135">
        <v>600</v>
      </c>
      <c r="O120" s="23" t="s">
        <v>31</v>
      </c>
      <c r="P120" s="23">
        <f t="shared" si="4"/>
        <v>1800</v>
      </c>
      <c r="Q120" s="217">
        <f t="shared" si="5"/>
        <v>0.33333333333333331</v>
      </c>
      <c r="R120" s="126" t="e">
        <f>VLOOKUP(G120,#REF!,11,0)*Q120</f>
        <v>#REF!</v>
      </c>
      <c r="S120" s="23" t="s">
        <v>247</v>
      </c>
      <c r="T120" s="23" t="s">
        <v>259</v>
      </c>
      <c r="U120" s="23">
        <v>2</v>
      </c>
      <c r="V120" s="23" t="s">
        <v>31</v>
      </c>
      <c r="W120" s="23" t="s">
        <v>31</v>
      </c>
      <c r="X120" s="23" t="s">
        <v>31</v>
      </c>
      <c r="Y120" s="23" t="s">
        <v>31</v>
      </c>
      <c r="Z120" s="23" t="s">
        <v>31</v>
      </c>
      <c r="AA120" s="23" t="s">
        <v>31</v>
      </c>
      <c r="AB120" s="23" t="s">
        <v>260</v>
      </c>
      <c r="AC120" s="187" t="s">
        <v>527</v>
      </c>
      <c r="AD120" s="187">
        <v>3</v>
      </c>
      <c r="AE120" s="187" t="s">
        <v>402</v>
      </c>
      <c r="AF120" s="187"/>
      <c r="AG120" s="187"/>
      <c r="AH120" s="123" t="str">
        <f>IF(AG120=1,'BU FACILITIES'!$G$24,"")</f>
        <v/>
      </c>
      <c r="AI120" s="187"/>
      <c r="AJ120" s="196"/>
      <c r="AK120" s="120">
        <f>AJ120*'BU FACILITIES'!$G$21</f>
        <v>0</v>
      </c>
      <c r="AL120" s="196">
        <v>1</v>
      </c>
      <c r="AM120" s="121">
        <f>PRODUCT( AL120,'BU FACILITIES'!$G$22)</f>
        <v>870.73170731707319</v>
      </c>
      <c r="AN120" s="187"/>
      <c r="AO120" s="187"/>
      <c r="AP120" s="125" t="str">
        <f>IF(AO120=1,'BU FACILITIES'!$G$23,"")</f>
        <v/>
      </c>
      <c r="AQ120" s="187"/>
      <c r="AR120" s="187"/>
      <c r="AS120" s="122" t="str">
        <f>IF(AR120=300,AQ120*'BU FACILITIES'!$G$4, IF(AND(AR120&gt;300,AR120&lt;=500), AQ120*'BU FACILITIES'!$G$5, IF(AND(AR120&gt;500,AR120&lt;=1250), AQ120*'BU FACILITIES'!$G$6, IF(AND(AR120&gt;1250,AR120&lt;=2000),AQ120*'BU FACILITIES'!$G$7, ""))))</f>
        <v/>
      </c>
      <c r="AT120" s="187"/>
      <c r="AU120" s="187"/>
      <c r="AV120" s="122" t="str">
        <f>IF(AU120=100,AT120*'BU FACILITIES'!$G$8, IF(AND(AU120&gt;100,AU120&lt;=500), AT120*'BU FACILITIES'!$G$9, IF(AND(AU120&gt;500,AU120&lt;=800), AT120*'BU FACILITIES'!$G$10, IF(AND(AU120&gt;800,AU120&lt;=1000),AT120*'BU FACILITIES'!$G$11, IF(AND(AU120&gt;1000,AU120&lt;=1400),AT120*'BU FACILITIES'!$G$12, IF(AND(AU120&gt;1400,AU120&lt;=2000),AT120*'BU FACILITIES'!$G$13,""))))))</f>
        <v/>
      </c>
      <c r="AW120" s="187"/>
      <c r="AX120" s="187"/>
      <c r="AY120" s="122" t="str">
        <f>IF(AX120=30,AW120*'BU FACILITIES'!$G$14, IF(AX120=45, AW120*'BU FACILITIES'!$G$15, IF(AX120=450, AW120*'BU FACILITIES'!$G$16, "")))</f>
        <v/>
      </c>
      <c r="AZ120" s="187"/>
      <c r="BA120" s="187"/>
      <c r="BB120" s="187" t="str">
        <f>IF(AND(BA120&gt;=1,BA120&lt;=5),'BU FACILITIES'!$G$17, IF(AND(BA120&gt;5, BA120&lt;=10), 'BU FACILITIES'!$G$18, IF(AND(BA120&gt;10,BA120&lt;=20),'BU FACILITIES'!$G$19,"")))</f>
        <v/>
      </c>
      <c r="BC120" s="187"/>
      <c r="BD120" s="195" t="str">
        <f>IF(AND(AZ120="Modificar ductería de AA",BC120=1), 'BU FACILITIES'!$G$20, "")</f>
        <v/>
      </c>
    </row>
    <row r="121" spans="1:57" s="3" customFormat="1" ht="12.75" hidden="1" x14ac:dyDescent="0.2">
      <c r="A121" s="24" t="s">
        <v>241</v>
      </c>
      <c r="B121" s="23" t="s">
        <v>242</v>
      </c>
      <c r="C121" s="23" t="s">
        <v>243</v>
      </c>
      <c r="D121" s="38" t="s">
        <v>352</v>
      </c>
      <c r="E121" s="23" t="s">
        <v>245</v>
      </c>
      <c r="F121" s="23">
        <v>2023</v>
      </c>
      <c r="G121" s="23" t="s">
        <v>132</v>
      </c>
      <c r="H121" s="23" t="s">
        <v>132</v>
      </c>
      <c r="I121" s="23" t="s">
        <v>457</v>
      </c>
      <c r="J121" s="23" t="s">
        <v>258</v>
      </c>
      <c r="K121" s="23">
        <v>1</v>
      </c>
      <c r="L121" s="23">
        <v>0</v>
      </c>
      <c r="M121" s="23">
        <v>400</v>
      </c>
      <c r="N121" s="135">
        <v>600</v>
      </c>
      <c r="O121" s="23" t="s">
        <v>31</v>
      </c>
      <c r="P121" s="23">
        <f t="shared" si="4"/>
        <v>4650</v>
      </c>
      <c r="Q121" s="217">
        <f t="shared" si="5"/>
        <v>0.12903225806451613</v>
      </c>
      <c r="R121" s="126" t="e">
        <f>VLOOKUP(G121,#REF!,11,0)*Q121</f>
        <v>#REF!</v>
      </c>
      <c r="S121" s="23" t="s">
        <v>247</v>
      </c>
      <c r="T121" s="23" t="s">
        <v>259</v>
      </c>
      <c r="U121" s="23">
        <v>2</v>
      </c>
      <c r="V121" s="23" t="s">
        <v>31</v>
      </c>
      <c r="W121" s="23" t="s">
        <v>31</v>
      </c>
      <c r="X121" s="23" t="s">
        <v>31</v>
      </c>
      <c r="Y121" s="23" t="s">
        <v>31</v>
      </c>
      <c r="Z121" s="23" t="s">
        <v>31</v>
      </c>
      <c r="AA121" s="23" t="s">
        <v>31</v>
      </c>
      <c r="AB121" s="23" t="s">
        <v>260</v>
      </c>
      <c r="AC121" s="187"/>
      <c r="AD121" s="187">
        <v>4</v>
      </c>
      <c r="AE121" s="187" t="s">
        <v>402</v>
      </c>
      <c r="AF121" s="187"/>
      <c r="AG121" s="187"/>
      <c r="AH121" s="123" t="str">
        <f>IF(AG121=1,'BU FACILITIES'!$G$24,"")</f>
        <v/>
      </c>
      <c r="AI121" s="187"/>
      <c r="AJ121" s="196"/>
      <c r="AK121" s="120">
        <f>AJ121*'BU FACILITIES'!$G$21</f>
        <v>0</v>
      </c>
      <c r="AL121" s="196">
        <v>1</v>
      </c>
      <c r="AM121" s="121">
        <f>PRODUCT( AL121,'BU FACILITIES'!$G$22)</f>
        <v>870.73170731707319</v>
      </c>
      <c r="AN121" s="187"/>
      <c r="AO121" s="187"/>
      <c r="AP121" s="125" t="str">
        <f>IF(AO121=1,'BU FACILITIES'!$G$23,"")</f>
        <v/>
      </c>
      <c r="AQ121" s="187"/>
      <c r="AR121" s="187"/>
      <c r="AS121" s="122" t="str">
        <f>IF(AR121=300,AQ121*'BU FACILITIES'!$G$4, IF(AND(AR121&gt;300,AR121&lt;=500), AQ121*'BU FACILITIES'!$G$5, IF(AND(AR121&gt;500,AR121&lt;=1250), AQ121*'BU FACILITIES'!$G$6, IF(AND(AR121&gt;1250,AR121&lt;=2000),AQ121*'BU FACILITIES'!$G$7, ""))))</f>
        <v/>
      </c>
      <c r="AT121" s="187"/>
      <c r="AU121" s="187"/>
      <c r="AV121" s="122" t="str">
        <f>IF(AU121=100,AT121*'BU FACILITIES'!$G$8, IF(AND(AU121&gt;100,AU121&lt;=500), AT121*'BU FACILITIES'!$G$9, IF(AND(AU121&gt;500,AU121&lt;=800), AT121*'BU FACILITIES'!$G$10, IF(AND(AU121&gt;800,AU121&lt;=1000),AT121*'BU FACILITIES'!$G$11, IF(AND(AU121&gt;1000,AU121&lt;=1400),AT121*'BU FACILITIES'!$G$12, IF(AND(AU121&gt;1400,AU121&lt;=2000),AT121*'BU FACILITIES'!$G$13,""))))))</f>
        <v/>
      </c>
      <c r="AW121" s="187"/>
      <c r="AX121" s="187"/>
      <c r="AY121" s="122" t="str">
        <f>IF(AX121=30,AW121*'BU FACILITIES'!$G$14, IF(AX121=45, AW121*'BU FACILITIES'!$G$15, IF(AX121=450, AW121*'BU FACILITIES'!$G$16, "")))</f>
        <v/>
      </c>
      <c r="AZ121" s="187"/>
      <c r="BA121" s="187"/>
      <c r="BB121" s="187" t="str">
        <f>IF(AND(BA121&gt;=1,BA121&lt;=5),'BU FACILITIES'!$G$17, IF(AND(BA121&gt;5, BA121&lt;=10), 'BU FACILITIES'!$G$18, IF(AND(BA121&gt;10,BA121&lt;=20),'BU FACILITIES'!$G$19,"")))</f>
        <v/>
      </c>
      <c r="BC121" s="187"/>
      <c r="BD121" s="195" t="str">
        <f>IF(AND(AZ121="Modificar ductería de AA",BC121=1), 'BU FACILITIES'!$G$20, "")</f>
        <v/>
      </c>
    </row>
    <row r="122" spans="1:57" s="3" customFormat="1" ht="12.75" hidden="1" x14ac:dyDescent="0.2">
      <c r="A122" s="24" t="s">
        <v>241</v>
      </c>
      <c r="B122" s="23" t="s">
        <v>242</v>
      </c>
      <c r="C122" s="23" t="s">
        <v>243</v>
      </c>
      <c r="D122" s="38" t="s">
        <v>352</v>
      </c>
      <c r="E122" s="23" t="s">
        <v>245</v>
      </c>
      <c r="F122" s="23">
        <v>2023</v>
      </c>
      <c r="G122" s="23" t="s">
        <v>550</v>
      </c>
      <c r="H122" s="23" t="s">
        <v>150</v>
      </c>
      <c r="I122" s="23" t="s">
        <v>31</v>
      </c>
      <c r="J122" s="23" t="s">
        <v>407</v>
      </c>
      <c r="K122" s="23">
        <v>1</v>
      </c>
      <c r="L122" s="23">
        <v>0</v>
      </c>
      <c r="M122" s="23">
        <v>400</v>
      </c>
      <c r="N122" s="135">
        <v>600</v>
      </c>
      <c r="O122" s="23" t="s">
        <v>31</v>
      </c>
      <c r="P122" s="23">
        <f t="shared" si="4"/>
        <v>5950</v>
      </c>
      <c r="Q122" s="217">
        <f t="shared" si="5"/>
        <v>0.10084033613445378</v>
      </c>
      <c r="R122" s="126" t="e">
        <f>VLOOKUP(G122,#REF!,11,0)*Q122</f>
        <v>#REF!</v>
      </c>
      <c r="S122" s="23" t="s">
        <v>247</v>
      </c>
      <c r="T122" s="23" t="s">
        <v>259</v>
      </c>
      <c r="U122" s="23">
        <v>2</v>
      </c>
      <c r="V122" s="23" t="s">
        <v>31</v>
      </c>
      <c r="W122" s="23" t="s">
        <v>31</v>
      </c>
      <c r="X122" s="23" t="s">
        <v>31</v>
      </c>
      <c r="Y122" s="23" t="s">
        <v>31</v>
      </c>
      <c r="Z122" s="23" t="s">
        <v>31</v>
      </c>
      <c r="AA122" s="23" t="s">
        <v>31</v>
      </c>
      <c r="AB122" s="23" t="s">
        <v>260</v>
      </c>
      <c r="AC122" s="187" t="s">
        <v>533</v>
      </c>
      <c r="AD122" s="187">
        <v>3</v>
      </c>
      <c r="AE122" s="187" t="s">
        <v>407</v>
      </c>
      <c r="AF122" s="187"/>
      <c r="AG122" s="187"/>
      <c r="AH122" s="123" t="str">
        <f>IF(AG122=1,'BU FACILITIES'!$G$24,"")</f>
        <v/>
      </c>
      <c r="AI122" s="187"/>
      <c r="AJ122" s="196"/>
      <c r="AK122" s="120">
        <f>AJ122*'BU FACILITIES'!$G$21</f>
        <v>0</v>
      </c>
      <c r="AL122" s="196">
        <v>1</v>
      </c>
      <c r="AM122" s="121">
        <f>PRODUCT( AL122,'BU FACILITIES'!$G$22)</f>
        <v>870.73170731707319</v>
      </c>
      <c r="AN122" s="187"/>
      <c r="AO122" s="187"/>
      <c r="AP122" s="125" t="str">
        <f>IF(AO122=1,'BU FACILITIES'!$G$23,"")</f>
        <v/>
      </c>
      <c r="AQ122" s="187"/>
      <c r="AR122" s="187"/>
      <c r="AS122" s="122" t="str">
        <f>IF(AR122=300,AQ122*'BU FACILITIES'!$G$4, IF(AND(AR122&gt;300,AR122&lt;=500), AQ122*'BU FACILITIES'!$G$5, IF(AND(AR122&gt;500,AR122&lt;=1250), AQ122*'BU FACILITIES'!$G$6, IF(AND(AR122&gt;1250,AR122&lt;=2000),AQ122*'BU FACILITIES'!$G$7, ""))))</f>
        <v/>
      </c>
      <c r="AT122" s="187"/>
      <c r="AU122" s="187"/>
      <c r="AV122" s="122" t="str">
        <f>IF(AU122=100,AT122*'BU FACILITIES'!$G$8, IF(AND(AU122&gt;100,AU122&lt;=500), AT122*'BU FACILITIES'!$G$9, IF(AND(AU122&gt;500,AU122&lt;=800), AT122*'BU FACILITIES'!$G$10, IF(AND(AU122&gt;800,AU122&lt;=1000),AT122*'BU FACILITIES'!$G$11, IF(AND(AU122&gt;1000,AU122&lt;=1400),AT122*'BU FACILITIES'!$G$12, IF(AND(AU122&gt;1400,AU122&lt;=2000),AT122*'BU FACILITIES'!$G$13,""))))))</f>
        <v/>
      </c>
      <c r="AW122" s="187"/>
      <c r="AX122" s="187"/>
      <c r="AY122" s="122" t="str">
        <f>IF(AX122=30,AW122*'BU FACILITIES'!$G$14, IF(AX122=45, AW122*'BU FACILITIES'!$G$15, IF(AX122=450, AW122*'BU FACILITIES'!$G$16, "")))</f>
        <v/>
      </c>
      <c r="AZ122" s="187"/>
      <c r="BA122" s="187"/>
      <c r="BB122" s="187" t="str">
        <f>IF(AND(BA122&gt;=1,BA122&lt;=5),'BU FACILITIES'!$G$17, IF(AND(BA122&gt;5, BA122&lt;=10), 'BU FACILITIES'!$G$18, IF(AND(BA122&gt;10,BA122&lt;=20),'BU FACILITIES'!$G$19,"")))</f>
        <v/>
      </c>
      <c r="BC122" s="187"/>
      <c r="BD122" s="195" t="str">
        <f>IF(AND(AZ122="Modificar ductería de AA",BC122=1), 'BU FACILITIES'!$G$20, "")</f>
        <v/>
      </c>
    </row>
    <row r="123" spans="1:57" s="3" customFormat="1" ht="12.75" hidden="1" x14ac:dyDescent="0.2">
      <c r="A123" s="24" t="s">
        <v>241</v>
      </c>
      <c r="B123" s="23" t="s">
        <v>242</v>
      </c>
      <c r="C123" s="23" t="s">
        <v>243</v>
      </c>
      <c r="D123" s="38" t="s">
        <v>352</v>
      </c>
      <c r="E123" s="23" t="s">
        <v>245</v>
      </c>
      <c r="F123" s="23">
        <v>2023</v>
      </c>
      <c r="G123" s="23" t="s">
        <v>262</v>
      </c>
      <c r="H123" s="23" t="s">
        <v>66</v>
      </c>
      <c r="I123" s="23" t="s">
        <v>457</v>
      </c>
      <c r="J123" s="23" t="s">
        <v>246</v>
      </c>
      <c r="K123" s="23">
        <v>0</v>
      </c>
      <c r="L123" s="23">
        <v>0</v>
      </c>
      <c r="M123" s="23">
        <v>400</v>
      </c>
      <c r="N123" s="135">
        <v>600</v>
      </c>
      <c r="O123" s="23" t="s">
        <v>31</v>
      </c>
      <c r="P123" s="23">
        <f t="shared" si="4"/>
        <v>1800</v>
      </c>
      <c r="Q123" s="217">
        <f t="shared" si="5"/>
        <v>0.33333333333333331</v>
      </c>
      <c r="R123" s="126" t="e">
        <f>VLOOKUP(G123,#REF!,11,0)*Q123</f>
        <v>#REF!</v>
      </c>
      <c r="S123" s="23" t="s">
        <v>247</v>
      </c>
      <c r="T123" s="23" t="s">
        <v>248</v>
      </c>
      <c r="U123" s="23" t="s">
        <v>31</v>
      </c>
      <c r="V123" s="23" t="s">
        <v>31</v>
      </c>
      <c r="W123" s="23" t="s">
        <v>31</v>
      </c>
      <c r="X123" s="23" t="s">
        <v>31</v>
      </c>
      <c r="Y123" s="23" t="s">
        <v>31</v>
      </c>
      <c r="Z123" s="23" t="s">
        <v>31</v>
      </c>
      <c r="AA123" s="23" t="s">
        <v>31</v>
      </c>
      <c r="AB123" s="23" t="s">
        <v>269</v>
      </c>
      <c r="AC123" s="187"/>
      <c r="AD123" s="187">
        <v>5</v>
      </c>
      <c r="AE123" s="187" t="s">
        <v>402</v>
      </c>
      <c r="AF123" s="187"/>
      <c r="AG123" s="187"/>
      <c r="AH123" s="123" t="str">
        <f>IF(AG123=1,'BU FACILITIES'!$G$24,"")</f>
        <v/>
      </c>
      <c r="AI123" s="187"/>
      <c r="AJ123" s="196"/>
      <c r="AK123" s="120">
        <f>AJ123*'BU FACILITIES'!$G$21</f>
        <v>0</v>
      </c>
      <c r="AL123" s="196">
        <v>0</v>
      </c>
      <c r="AM123" s="121">
        <f>PRODUCT( AL123,'BU FACILITIES'!$G$22)</f>
        <v>0</v>
      </c>
      <c r="AN123" s="187"/>
      <c r="AO123" s="187"/>
      <c r="AP123" s="125" t="str">
        <f>IF(AO123=1,'BU FACILITIES'!$G$23,"")</f>
        <v/>
      </c>
      <c r="AQ123" s="187"/>
      <c r="AR123" s="187"/>
      <c r="AS123" s="122" t="str">
        <f>IF(AR123=300,AQ123*'BU FACILITIES'!$G$4, IF(AND(AR123&gt;300,AR123&lt;=500), AQ123*'BU FACILITIES'!$G$5, IF(AND(AR123&gt;500,AR123&lt;=1250), AQ123*'BU FACILITIES'!$G$6, IF(AND(AR123&gt;1250,AR123&lt;=2000),AQ123*'BU FACILITIES'!$G$7, ""))))</f>
        <v/>
      </c>
      <c r="AT123" s="187"/>
      <c r="AU123" s="187"/>
      <c r="AV123" s="122" t="str">
        <f>IF(AU123=100,AT123*'BU FACILITIES'!$G$8, IF(AND(AU123&gt;100,AU123&lt;=500), AT123*'BU FACILITIES'!$G$9, IF(AND(AU123&gt;500,AU123&lt;=800), AT123*'BU FACILITIES'!$G$10, IF(AND(AU123&gt;800,AU123&lt;=1000),AT123*'BU FACILITIES'!$G$11, IF(AND(AU123&gt;1000,AU123&lt;=1400),AT123*'BU FACILITIES'!$G$12, IF(AND(AU123&gt;1400,AU123&lt;=2000),AT123*'BU FACILITIES'!$G$13,""))))))</f>
        <v/>
      </c>
      <c r="AW123" s="187"/>
      <c r="AX123" s="187"/>
      <c r="AY123" s="122" t="str">
        <f>IF(AX123=30,AW123*'BU FACILITIES'!$G$14, IF(AX123=45, AW123*'BU FACILITIES'!$G$15, IF(AX123=450, AW123*'BU FACILITIES'!$G$16, "")))</f>
        <v/>
      </c>
      <c r="AZ123" s="187"/>
      <c r="BA123" s="187"/>
      <c r="BB123" s="187" t="str">
        <f>IF(AND(BA123&gt;=1,BA123&lt;=5),'BU FACILITIES'!$G$17, IF(AND(BA123&gt;5, BA123&lt;=10), 'BU FACILITIES'!$G$18, IF(AND(BA123&gt;10,BA123&lt;=20),'BU FACILITIES'!$G$19,"")))</f>
        <v/>
      </c>
      <c r="BC123" s="187"/>
      <c r="BD123" s="195" t="str">
        <f>IF(AND(AZ123="Modificar ductería de AA",BC123=1), 'BU FACILITIES'!$G$20, "")</f>
        <v/>
      </c>
    </row>
    <row r="124" spans="1:57" s="3" customFormat="1" ht="12.75" hidden="1" x14ac:dyDescent="0.2">
      <c r="A124" s="24" t="s">
        <v>241</v>
      </c>
      <c r="B124" s="23" t="s">
        <v>242</v>
      </c>
      <c r="C124" s="23" t="s">
        <v>243</v>
      </c>
      <c r="D124" s="38" t="s">
        <v>352</v>
      </c>
      <c r="E124" s="23" t="s">
        <v>245</v>
      </c>
      <c r="F124" s="23">
        <v>2023</v>
      </c>
      <c r="G124" s="23" t="s">
        <v>551</v>
      </c>
      <c r="H124" s="23" t="s">
        <v>551</v>
      </c>
      <c r="I124" s="80" t="s">
        <v>457</v>
      </c>
      <c r="J124" s="23" t="s">
        <v>246</v>
      </c>
      <c r="K124" s="23">
        <v>0</v>
      </c>
      <c r="L124" s="23">
        <v>0</v>
      </c>
      <c r="M124" s="23">
        <v>400</v>
      </c>
      <c r="N124" s="131">
        <v>600</v>
      </c>
      <c r="O124" s="23" t="s">
        <v>31</v>
      </c>
      <c r="P124" s="23">
        <f t="shared" ref="P124:P155" si="6">SUMIF($G$3:$G$292,G124,$N$3:$N$292)</f>
        <v>600</v>
      </c>
      <c r="Q124" s="217">
        <f t="shared" si="5"/>
        <v>1</v>
      </c>
      <c r="R124" s="126" t="e">
        <f>VLOOKUP(G124,#REF!,11,0)*Q124</f>
        <v>#REF!</v>
      </c>
      <c r="S124" s="23" t="s">
        <v>247</v>
      </c>
      <c r="T124" s="23" t="s">
        <v>248</v>
      </c>
      <c r="U124" s="23" t="s">
        <v>31</v>
      </c>
      <c r="V124" s="23" t="s">
        <v>31</v>
      </c>
      <c r="W124" s="23" t="s">
        <v>31</v>
      </c>
      <c r="X124" s="23" t="s">
        <v>31</v>
      </c>
      <c r="Y124" s="23" t="s">
        <v>31</v>
      </c>
      <c r="Z124" s="23" t="s">
        <v>31</v>
      </c>
      <c r="AA124" s="23" t="s">
        <v>31</v>
      </c>
      <c r="AB124" s="23" t="s">
        <v>269</v>
      </c>
      <c r="AC124" s="187"/>
      <c r="AD124" s="187">
        <v>5</v>
      </c>
      <c r="AE124" s="187" t="s">
        <v>402</v>
      </c>
      <c r="AF124" s="187"/>
      <c r="AG124" s="187"/>
      <c r="AH124" s="123" t="str">
        <f>IF(AG124=1,'BU FACILITIES'!$G$24,"")</f>
        <v/>
      </c>
      <c r="AI124" s="187"/>
      <c r="AJ124" s="196"/>
      <c r="AK124" s="120">
        <f>AJ124*'BU FACILITIES'!$G$21</f>
        <v>0</v>
      </c>
      <c r="AL124" s="196">
        <v>0</v>
      </c>
      <c r="AM124" s="121">
        <f>PRODUCT( AL124,'BU FACILITIES'!$G$22)</f>
        <v>0</v>
      </c>
      <c r="AN124" s="187"/>
      <c r="AO124" s="187"/>
      <c r="AP124" s="125" t="str">
        <f>IF(AO124=1,'BU FACILITIES'!$G$23,"")</f>
        <v/>
      </c>
      <c r="AQ124" s="187"/>
      <c r="AR124" s="187"/>
      <c r="AS124" s="122" t="str">
        <f>IF(AR124=300,AQ124*'BU FACILITIES'!$G$4, IF(AND(AR124&gt;300,AR124&lt;=500), AQ124*'BU FACILITIES'!$G$5, IF(AND(AR124&gt;500,AR124&lt;=1250), AQ124*'BU FACILITIES'!$G$6, IF(AND(AR124&gt;1250,AR124&lt;=2000),AQ124*'BU FACILITIES'!$G$7, ""))))</f>
        <v/>
      </c>
      <c r="AT124" s="187"/>
      <c r="AU124" s="187"/>
      <c r="AV124" s="122" t="str">
        <f>IF(AU124=100,AT124*'BU FACILITIES'!$G$8, IF(AND(AU124&gt;100,AU124&lt;=500), AT124*'BU FACILITIES'!$G$9, IF(AND(AU124&gt;500,AU124&lt;=800), AT124*'BU FACILITIES'!$G$10, IF(AND(AU124&gt;800,AU124&lt;=1000),AT124*'BU FACILITIES'!$G$11, IF(AND(AU124&gt;1000,AU124&lt;=1400),AT124*'BU FACILITIES'!$G$12, IF(AND(AU124&gt;1400,AU124&lt;=2000),AT124*'BU FACILITIES'!$G$13,""))))))</f>
        <v/>
      </c>
      <c r="AW124" s="187"/>
      <c r="AX124" s="187"/>
      <c r="AY124" s="122" t="str">
        <f>IF(AX124=30,AW124*'BU FACILITIES'!$G$14, IF(AX124=45, AW124*'BU FACILITIES'!$G$15, IF(AX124=450, AW124*'BU FACILITIES'!$G$16, "")))</f>
        <v/>
      </c>
      <c r="AZ124" s="187"/>
      <c r="BA124" s="187"/>
      <c r="BB124" s="187" t="str">
        <f>IF(AND(BA124&gt;=1,BA124&lt;=5),'BU FACILITIES'!$G$17, IF(AND(BA124&gt;5, BA124&lt;=10), 'BU FACILITIES'!$G$18, IF(AND(BA124&gt;10,BA124&lt;=20),'BU FACILITIES'!$G$19,"")))</f>
        <v/>
      </c>
      <c r="BC124" s="187"/>
      <c r="BD124" s="195" t="str">
        <f>IF(AND(AZ124="Modificar ductería de AA",BC124=1), 'BU FACILITIES'!$G$20, "")</f>
        <v/>
      </c>
    </row>
    <row r="125" spans="1:57" s="3" customFormat="1" ht="12.75" hidden="1" x14ac:dyDescent="0.2">
      <c r="A125" s="24" t="s">
        <v>241</v>
      </c>
      <c r="B125" s="23" t="s">
        <v>242</v>
      </c>
      <c r="C125" s="23" t="s">
        <v>243</v>
      </c>
      <c r="D125" s="38" t="s">
        <v>352</v>
      </c>
      <c r="E125" s="23" t="s">
        <v>245</v>
      </c>
      <c r="F125" s="23">
        <v>2023</v>
      </c>
      <c r="G125" s="23" t="s">
        <v>271</v>
      </c>
      <c r="H125" s="23" t="s">
        <v>128</v>
      </c>
      <c r="I125" s="23" t="s">
        <v>457</v>
      </c>
      <c r="J125" s="23" t="s">
        <v>246</v>
      </c>
      <c r="K125" s="23">
        <v>0</v>
      </c>
      <c r="L125" s="23">
        <v>0</v>
      </c>
      <c r="M125" s="23">
        <v>400</v>
      </c>
      <c r="N125" s="131">
        <v>600</v>
      </c>
      <c r="O125" s="23" t="s">
        <v>31</v>
      </c>
      <c r="P125" s="23">
        <f t="shared" si="6"/>
        <v>600</v>
      </c>
      <c r="Q125" s="217">
        <f t="shared" si="5"/>
        <v>1</v>
      </c>
      <c r="R125" s="126" t="e">
        <f>VLOOKUP(G125,#REF!,11,0)*Q125</f>
        <v>#REF!</v>
      </c>
      <c r="S125" s="23" t="s">
        <v>247</v>
      </c>
      <c r="T125" s="23" t="s">
        <v>248</v>
      </c>
      <c r="U125" s="23" t="s">
        <v>31</v>
      </c>
      <c r="V125" s="23" t="s">
        <v>31</v>
      </c>
      <c r="W125" s="23" t="s">
        <v>31</v>
      </c>
      <c r="X125" s="23" t="s">
        <v>31</v>
      </c>
      <c r="Y125" s="23" t="s">
        <v>31</v>
      </c>
      <c r="Z125" s="23" t="s">
        <v>31</v>
      </c>
      <c r="AA125" s="23" t="s">
        <v>31</v>
      </c>
      <c r="AB125" s="23" t="s">
        <v>269</v>
      </c>
      <c r="AC125" s="187"/>
      <c r="AD125" s="187">
        <v>5</v>
      </c>
      <c r="AE125" s="187" t="s">
        <v>402</v>
      </c>
      <c r="AF125" s="187"/>
      <c r="AG125" s="187"/>
      <c r="AH125" s="123" t="str">
        <f>IF(AG125=1,'BU FACILITIES'!$G$24,"")</f>
        <v/>
      </c>
      <c r="AI125" s="187"/>
      <c r="AJ125" s="196"/>
      <c r="AK125" s="120">
        <f>AJ125*'BU FACILITIES'!$G$21</f>
        <v>0</v>
      </c>
      <c r="AL125" s="196">
        <v>0</v>
      </c>
      <c r="AM125" s="121">
        <f>PRODUCT( AL125,'BU FACILITIES'!$G$22)</f>
        <v>0</v>
      </c>
      <c r="AN125" s="187"/>
      <c r="AO125" s="187"/>
      <c r="AP125" s="125" t="str">
        <f>IF(AO125=1,'BU FACILITIES'!$G$23,"")</f>
        <v/>
      </c>
      <c r="AQ125" s="187"/>
      <c r="AR125" s="187"/>
      <c r="AS125" s="122" t="str">
        <f>IF(AR125=300,AQ125*'BU FACILITIES'!$G$4, IF(AND(AR125&gt;300,AR125&lt;=500), AQ125*'BU FACILITIES'!$G$5, IF(AND(AR125&gt;500,AR125&lt;=1250), AQ125*'BU FACILITIES'!$G$6, IF(AND(AR125&gt;1250,AR125&lt;=2000),AQ125*'BU FACILITIES'!$G$7, ""))))</f>
        <v/>
      </c>
      <c r="AT125" s="187"/>
      <c r="AU125" s="187"/>
      <c r="AV125" s="122" t="str">
        <f>IF(AU125=100,AT125*'BU FACILITIES'!$G$8, IF(AND(AU125&gt;100,AU125&lt;=500), AT125*'BU FACILITIES'!$G$9, IF(AND(AU125&gt;500,AU125&lt;=800), AT125*'BU FACILITIES'!$G$10, IF(AND(AU125&gt;800,AU125&lt;=1000),AT125*'BU FACILITIES'!$G$11, IF(AND(AU125&gt;1000,AU125&lt;=1400),AT125*'BU FACILITIES'!$G$12, IF(AND(AU125&gt;1400,AU125&lt;=2000),AT125*'BU FACILITIES'!$G$13,""))))))</f>
        <v/>
      </c>
      <c r="AW125" s="187"/>
      <c r="AX125" s="187"/>
      <c r="AY125" s="122" t="str">
        <f>IF(AX125=30,AW125*'BU FACILITIES'!$G$14, IF(AX125=45, AW125*'BU FACILITIES'!$G$15, IF(AX125=450, AW125*'BU FACILITIES'!$G$16, "")))</f>
        <v/>
      </c>
      <c r="AZ125" s="187"/>
      <c r="BA125" s="187"/>
      <c r="BB125" s="187" t="str">
        <f>IF(AND(BA125&gt;=1,BA125&lt;=5),'BU FACILITIES'!$G$17, IF(AND(BA125&gt;5, BA125&lt;=10), 'BU FACILITIES'!$G$18, IF(AND(BA125&gt;10,BA125&lt;=20),'BU FACILITIES'!$G$19,"")))</f>
        <v/>
      </c>
      <c r="BC125" s="187"/>
      <c r="BD125" s="195" t="str">
        <f>IF(AND(AZ125="Modificar ductería de AA",BC125=1), 'BU FACILITIES'!$G$20, "")</f>
        <v/>
      </c>
    </row>
    <row r="126" spans="1:57" s="3" customFormat="1" ht="12.75" hidden="1" x14ac:dyDescent="0.2">
      <c r="A126" s="24" t="s">
        <v>241</v>
      </c>
      <c r="B126" s="23" t="s">
        <v>242</v>
      </c>
      <c r="C126" s="23" t="s">
        <v>243</v>
      </c>
      <c r="D126" s="38" t="s">
        <v>352</v>
      </c>
      <c r="E126" s="23" t="s">
        <v>245</v>
      </c>
      <c r="F126" s="23">
        <v>2023</v>
      </c>
      <c r="G126" s="23" t="s">
        <v>73</v>
      </c>
      <c r="H126" s="71" t="s">
        <v>73</v>
      </c>
      <c r="I126" s="23" t="s">
        <v>31</v>
      </c>
      <c r="J126" s="23" t="s">
        <v>185</v>
      </c>
      <c r="K126" s="23">
        <v>0</v>
      </c>
      <c r="L126" s="23">
        <v>0</v>
      </c>
      <c r="M126" s="23">
        <v>400</v>
      </c>
      <c r="N126" s="131">
        <v>600</v>
      </c>
      <c r="O126" s="23" t="s">
        <v>31</v>
      </c>
      <c r="P126" s="23">
        <f t="shared" si="6"/>
        <v>600</v>
      </c>
      <c r="Q126" s="217">
        <f t="shared" si="5"/>
        <v>1</v>
      </c>
      <c r="R126" s="126" t="e">
        <f>VLOOKUP(G126,#REF!,11,0)*Q126</f>
        <v>#REF!</v>
      </c>
      <c r="S126" s="23" t="s">
        <v>247</v>
      </c>
      <c r="T126" s="23" t="s">
        <v>248</v>
      </c>
      <c r="U126" s="23" t="s">
        <v>31</v>
      </c>
      <c r="V126" s="23" t="s">
        <v>31</v>
      </c>
      <c r="W126" s="23" t="s">
        <v>31</v>
      </c>
      <c r="X126" s="23" t="s">
        <v>31</v>
      </c>
      <c r="Y126" s="23" t="s">
        <v>31</v>
      </c>
      <c r="Z126" s="23" t="s">
        <v>31</v>
      </c>
      <c r="AA126" s="23" t="s">
        <v>31</v>
      </c>
      <c r="AB126" s="23" t="s">
        <v>269</v>
      </c>
      <c r="AC126" s="187"/>
      <c r="AD126" s="187" t="s">
        <v>437</v>
      </c>
      <c r="AE126" s="187" t="s">
        <v>407</v>
      </c>
      <c r="AF126" s="187"/>
      <c r="AG126" s="187"/>
      <c r="AH126" s="123" t="str">
        <f>IF(AG126=1,'BU FACILITIES'!$G$24,"")</f>
        <v/>
      </c>
      <c r="AI126" s="187"/>
      <c r="AJ126" s="196"/>
      <c r="AK126" s="120">
        <f>AJ126*'BU FACILITIES'!$G$21</f>
        <v>0</v>
      </c>
      <c r="AL126" s="196">
        <v>0</v>
      </c>
      <c r="AM126" s="121">
        <f>PRODUCT( AL126,'BU FACILITIES'!$G$22)</f>
        <v>0</v>
      </c>
      <c r="AN126" s="187"/>
      <c r="AO126" s="187"/>
      <c r="AP126" s="125" t="str">
        <f>IF(AO126=1,'BU FACILITIES'!$G$23,"")</f>
        <v/>
      </c>
      <c r="AQ126" s="187"/>
      <c r="AR126" s="187"/>
      <c r="AS126" s="122" t="str">
        <f>IF(AR126=300,AQ126*'BU FACILITIES'!$G$4, IF(AND(AR126&gt;300,AR126&lt;=500), AQ126*'BU FACILITIES'!$G$5, IF(AND(AR126&gt;500,AR126&lt;=1250), AQ126*'BU FACILITIES'!$G$6, IF(AND(AR126&gt;1250,AR126&lt;=2000),AQ126*'BU FACILITIES'!$G$7, ""))))</f>
        <v/>
      </c>
      <c r="AT126" s="187"/>
      <c r="AU126" s="187"/>
      <c r="AV126" s="122" t="str">
        <f>IF(AU126=100,AT126*'BU FACILITIES'!$G$8, IF(AND(AU126&gt;100,AU126&lt;=500), AT126*'BU FACILITIES'!$G$9, IF(AND(AU126&gt;500,AU126&lt;=800), AT126*'BU FACILITIES'!$G$10, IF(AND(AU126&gt;800,AU126&lt;=1000),AT126*'BU FACILITIES'!$G$11, IF(AND(AU126&gt;1000,AU126&lt;=1400),AT126*'BU FACILITIES'!$G$12, IF(AND(AU126&gt;1400,AU126&lt;=2000),AT126*'BU FACILITIES'!$G$13,""))))))</f>
        <v/>
      </c>
      <c r="AW126" s="187"/>
      <c r="AX126" s="187"/>
      <c r="AY126" s="122" t="str">
        <f>IF(AX126=30,AW126*'BU FACILITIES'!$G$14, IF(AX126=45, AW126*'BU FACILITIES'!$G$15, IF(AX126=450, AW126*'BU FACILITIES'!$G$16, "")))</f>
        <v/>
      </c>
      <c r="AZ126" s="187"/>
      <c r="BA126" s="187"/>
      <c r="BB126" s="187" t="str">
        <f>IF(AND(BA126&gt;=1,BA126&lt;=5),'BU FACILITIES'!$G$17, IF(AND(BA126&gt;5, BA126&lt;=10), 'BU FACILITIES'!$G$18, IF(AND(BA126&gt;10,BA126&lt;=20),'BU FACILITIES'!$G$19,"")))</f>
        <v/>
      </c>
      <c r="BC126" s="187"/>
      <c r="BD126" s="195" t="str">
        <f>IF(AND(AZ126="Modificar ductería de AA",BC126=1), 'BU FACILITIES'!$G$20, "")</f>
        <v/>
      </c>
    </row>
    <row r="127" spans="1:57" s="3" customFormat="1" hidden="1" x14ac:dyDescent="0.25">
      <c r="A127" s="24" t="s">
        <v>241</v>
      </c>
      <c r="B127" s="23" t="s">
        <v>242</v>
      </c>
      <c r="C127" s="23" t="s">
        <v>243</v>
      </c>
      <c r="D127" s="38" t="s">
        <v>352</v>
      </c>
      <c r="E127" s="23" t="s">
        <v>245</v>
      </c>
      <c r="F127" s="23">
        <v>2023</v>
      </c>
      <c r="G127" s="23" t="s">
        <v>80</v>
      </c>
      <c r="H127" s="23" t="s">
        <v>66</v>
      </c>
      <c r="I127" s="23" t="s">
        <v>457</v>
      </c>
      <c r="J127" s="23" t="s">
        <v>246</v>
      </c>
      <c r="K127" s="23">
        <v>0</v>
      </c>
      <c r="L127" s="23">
        <v>0</v>
      </c>
      <c r="M127" s="23">
        <v>400</v>
      </c>
      <c r="N127" s="152">
        <f>600+400</f>
        <v>1000</v>
      </c>
      <c r="O127" s="23" t="s">
        <v>31</v>
      </c>
      <c r="P127" s="23">
        <f t="shared" si="6"/>
        <v>7650</v>
      </c>
      <c r="Q127" s="217">
        <f t="shared" si="5"/>
        <v>0.13071895424836602</v>
      </c>
      <c r="R127" s="126" t="e">
        <f>VLOOKUP(G127,#REF!,11,0)*Q127</f>
        <v>#REF!</v>
      </c>
      <c r="S127" s="23" t="s">
        <v>247</v>
      </c>
      <c r="T127" s="23" t="s">
        <v>248</v>
      </c>
      <c r="U127" s="23" t="s">
        <v>31</v>
      </c>
      <c r="V127" s="23" t="s">
        <v>31</v>
      </c>
      <c r="W127" s="23" t="s">
        <v>31</v>
      </c>
      <c r="X127" s="23" t="s">
        <v>31</v>
      </c>
      <c r="Y127" s="23" t="s">
        <v>31</v>
      </c>
      <c r="Z127" s="23" t="s">
        <v>31</v>
      </c>
      <c r="AA127" s="23" t="s">
        <v>31</v>
      </c>
      <c r="AB127" s="23" t="s">
        <v>269</v>
      </c>
      <c r="AC127" s="187"/>
      <c r="AD127" s="187">
        <v>2</v>
      </c>
      <c r="AE127" s="187" t="s">
        <v>402</v>
      </c>
      <c r="AF127" s="187"/>
      <c r="AG127" s="187"/>
      <c r="AH127" s="123" t="str">
        <f>IF(AG127=1,'BU FACILITIES'!$G$24,"")</f>
        <v/>
      </c>
      <c r="AI127" s="187"/>
      <c r="AJ127" s="196"/>
      <c r="AK127" s="120">
        <f>AJ127*'BU FACILITIES'!$G$21</f>
        <v>0</v>
      </c>
      <c r="AL127" s="196">
        <v>0</v>
      </c>
      <c r="AM127" s="121">
        <f>PRODUCT( AL127,'BU FACILITIES'!$G$22)</f>
        <v>0</v>
      </c>
      <c r="AN127" s="187"/>
      <c r="AO127" s="187"/>
      <c r="AP127" s="125" t="str">
        <f>IF(AO127=1,'BU FACILITIES'!$G$23,"")</f>
        <v/>
      </c>
      <c r="AQ127" s="187"/>
      <c r="AR127" s="187"/>
      <c r="AS127" s="122" t="str">
        <f>IF(AR127=300,AQ127*'BU FACILITIES'!$G$4, IF(AND(AR127&gt;300,AR127&lt;=500), AQ127*'BU FACILITIES'!$G$5, IF(AND(AR127&gt;500,AR127&lt;=1250), AQ127*'BU FACILITIES'!$G$6, IF(AND(AR127&gt;1250,AR127&lt;=2000),AQ127*'BU FACILITIES'!$G$7, ""))))</f>
        <v/>
      </c>
      <c r="AT127" s="187"/>
      <c r="AU127" s="187"/>
      <c r="AV127" s="122" t="str">
        <f>IF(AU127=100,AT127*'BU FACILITIES'!$G$8, IF(AND(AU127&gt;100,AU127&lt;=500), AT127*'BU FACILITIES'!$G$9, IF(AND(AU127&gt;500,AU127&lt;=800), AT127*'BU FACILITIES'!$G$10, IF(AND(AU127&gt;800,AU127&lt;=1000),AT127*'BU FACILITIES'!$G$11, IF(AND(AU127&gt;1000,AU127&lt;=1400),AT127*'BU FACILITIES'!$G$12, IF(AND(AU127&gt;1400,AU127&lt;=2000),AT127*'BU FACILITIES'!$G$13,""))))))</f>
        <v/>
      </c>
      <c r="AW127" s="187"/>
      <c r="AX127" s="187"/>
      <c r="AY127" s="122" t="str">
        <f>IF(AX127=30,AW127*'BU FACILITIES'!$G$14, IF(AX127=45, AW127*'BU FACILITIES'!$G$15, IF(AX127=450, AW127*'BU FACILITIES'!$G$16, "")))</f>
        <v/>
      </c>
      <c r="AZ127" s="187"/>
      <c r="BA127" s="187"/>
      <c r="BB127" s="187" t="str">
        <f>IF(AND(BA127&gt;=1,BA127&lt;=5),'BU FACILITIES'!$G$17, IF(AND(BA127&gt;5, BA127&lt;=10), 'BU FACILITIES'!$G$18, IF(AND(BA127&gt;10,BA127&lt;=20),'BU FACILITIES'!$G$19,"")))</f>
        <v/>
      </c>
      <c r="BC127" s="187"/>
      <c r="BD127" s="195" t="str">
        <f>IF(AND(AZ127="Modificar ductería de AA",BC127=1), 'BU FACILITIES'!$G$20, "")</f>
        <v/>
      </c>
    </row>
    <row r="128" spans="1:57" s="3" customFormat="1" ht="12.75" hidden="1" x14ac:dyDescent="0.2">
      <c r="A128" s="24" t="s">
        <v>241</v>
      </c>
      <c r="B128" s="23" t="s">
        <v>242</v>
      </c>
      <c r="C128" s="23" t="s">
        <v>243</v>
      </c>
      <c r="D128" s="38" t="s">
        <v>352</v>
      </c>
      <c r="E128" s="23" t="s">
        <v>245</v>
      </c>
      <c r="F128" s="23">
        <v>2023</v>
      </c>
      <c r="G128" s="23" t="s">
        <v>89</v>
      </c>
      <c r="H128" s="23" t="s">
        <v>57</v>
      </c>
      <c r="I128" s="23" t="s">
        <v>31</v>
      </c>
      <c r="J128" s="23" t="s">
        <v>246</v>
      </c>
      <c r="K128" s="23">
        <v>0</v>
      </c>
      <c r="L128" s="23">
        <v>0</v>
      </c>
      <c r="M128" s="23">
        <v>400</v>
      </c>
      <c r="N128" s="135">
        <v>600</v>
      </c>
      <c r="O128" s="23" t="s">
        <v>31</v>
      </c>
      <c r="P128" s="23">
        <f t="shared" si="6"/>
        <v>1800</v>
      </c>
      <c r="Q128" s="217">
        <f t="shared" si="5"/>
        <v>0.33333333333333331</v>
      </c>
      <c r="R128" s="126" t="e">
        <f>VLOOKUP(G128,#REF!,11,0)*Q128</f>
        <v>#REF!</v>
      </c>
      <c r="S128" s="23" t="s">
        <v>247</v>
      </c>
      <c r="T128" s="23" t="s">
        <v>248</v>
      </c>
      <c r="U128" s="23" t="s">
        <v>31</v>
      </c>
      <c r="V128" s="23" t="s">
        <v>31</v>
      </c>
      <c r="W128" s="23" t="s">
        <v>31</v>
      </c>
      <c r="X128" s="23" t="s">
        <v>31</v>
      </c>
      <c r="Y128" s="23" t="s">
        <v>31</v>
      </c>
      <c r="Z128" s="23" t="s">
        <v>31</v>
      </c>
      <c r="AA128" s="23" t="s">
        <v>31</v>
      </c>
      <c r="AB128" s="23" t="s">
        <v>269</v>
      </c>
      <c r="AC128" s="187" t="s">
        <v>472</v>
      </c>
      <c r="AD128" s="187" t="s">
        <v>473</v>
      </c>
      <c r="AE128" s="187" t="s">
        <v>402</v>
      </c>
      <c r="AF128" s="187"/>
      <c r="AG128" s="187"/>
      <c r="AH128" s="123" t="str">
        <f>IF(AG128=1,'BU FACILITIES'!$G$24,"")</f>
        <v/>
      </c>
      <c r="AI128" s="187"/>
      <c r="AJ128" s="196"/>
      <c r="AK128" s="120">
        <f>AJ128*'BU FACILITIES'!$G$21</f>
        <v>0</v>
      </c>
      <c r="AL128" s="196">
        <v>0</v>
      </c>
      <c r="AM128" s="121">
        <f>PRODUCT( AL128,'BU FACILITIES'!$G$22)</f>
        <v>0</v>
      </c>
      <c r="AN128" s="187"/>
      <c r="AO128" s="187"/>
      <c r="AP128" s="125" t="str">
        <f>IF(AO128=1,'BU FACILITIES'!$G$23,"")</f>
        <v/>
      </c>
      <c r="AQ128" s="187"/>
      <c r="AR128" s="187"/>
      <c r="AS128" s="122" t="str">
        <f>IF(AR128=300,AQ128*'BU FACILITIES'!$G$4, IF(AND(AR128&gt;300,AR128&lt;=500), AQ128*'BU FACILITIES'!$G$5, IF(AND(AR128&gt;500,AR128&lt;=1250), AQ128*'BU FACILITIES'!$G$6, IF(AND(AR128&gt;1250,AR128&lt;=2000),AQ128*'BU FACILITIES'!$G$7, ""))))</f>
        <v/>
      </c>
      <c r="AT128" s="187"/>
      <c r="AU128" s="187"/>
      <c r="AV128" s="122" t="str">
        <f>IF(AU128=100,AT128*'BU FACILITIES'!$G$8, IF(AND(AU128&gt;100,AU128&lt;=500), AT128*'BU FACILITIES'!$G$9, IF(AND(AU128&gt;500,AU128&lt;=800), AT128*'BU FACILITIES'!$G$10, IF(AND(AU128&gt;800,AU128&lt;=1000),AT128*'BU FACILITIES'!$G$11, IF(AND(AU128&gt;1000,AU128&lt;=1400),AT128*'BU FACILITIES'!$G$12, IF(AND(AU128&gt;1400,AU128&lt;=2000),AT128*'BU FACILITIES'!$G$13,""))))))</f>
        <v/>
      </c>
      <c r="AW128" s="187"/>
      <c r="AX128" s="187"/>
      <c r="AY128" s="122" t="str">
        <f>IF(AX128=30,AW128*'BU FACILITIES'!$G$14, IF(AX128=45, AW128*'BU FACILITIES'!$G$15, IF(AX128=450, AW128*'BU FACILITIES'!$G$16, "")))</f>
        <v/>
      </c>
      <c r="AZ128" s="187"/>
      <c r="BA128" s="187"/>
      <c r="BB128" s="187" t="str">
        <f>IF(AND(BA128&gt;=1,BA128&lt;=5),'BU FACILITIES'!$G$17, IF(AND(BA128&gt;5, BA128&lt;=10), 'BU FACILITIES'!$G$18, IF(AND(BA128&gt;10,BA128&lt;=20),'BU FACILITIES'!$G$19,"")))</f>
        <v/>
      </c>
      <c r="BC128" s="187"/>
      <c r="BD128" s="195" t="str">
        <f>IF(AND(AZ128="Modificar ductería de AA",BC128=1), 'BU FACILITIES'!$G$20, "")</f>
        <v/>
      </c>
    </row>
    <row r="129" spans="1:57" s="3" customFormat="1" ht="12.75" hidden="1" x14ac:dyDescent="0.2">
      <c r="A129" s="24" t="s">
        <v>241</v>
      </c>
      <c r="B129" s="23" t="s">
        <v>242</v>
      </c>
      <c r="C129" s="23" t="s">
        <v>243</v>
      </c>
      <c r="D129" s="38" t="s">
        <v>352</v>
      </c>
      <c r="E129" s="23" t="s">
        <v>245</v>
      </c>
      <c r="F129" s="23">
        <v>2023</v>
      </c>
      <c r="G129" s="23" t="s">
        <v>82</v>
      </c>
      <c r="H129" s="23" t="s">
        <v>82</v>
      </c>
      <c r="I129" s="23" t="s">
        <v>31</v>
      </c>
      <c r="J129" s="23" t="s">
        <v>246</v>
      </c>
      <c r="K129" s="23">
        <v>0</v>
      </c>
      <c r="L129" s="23">
        <v>0</v>
      </c>
      <c r="M129" s="23">
        <v>400</v>
      </c>
      <c r="N129" s="135">
        <v>600</v>
      </c>
      <c r="O129" s="23" t="s">
        <v>31</v>
      </c>
      <c r="P129" s="23">
        <f t="shared" si="6"/>
        <v>600</v>
      </c>
      <c r="Q129" s="217">
        <f t="shared" si="5"/>
        <v>1</v>
      </c>
      <c r="R129" s="126" t="e">
        <f>VLOOKUP(G129,#REF!,11,0)*Q129</f>
        <v>#REF!</v>
      </c>
      <c r="S129" s="23" t="s">
        <v>247</v>
      </c>
      <c r="T129" s="23" t="s">
        <v>248</v>
      </c>
      <c r="U129" s="23" t="s">
        <v>31</v>
      </c>
      <c r="V129" s="23" t="s">
        <v>31</v>
      </c>
      <c r="W129" s="23" t="s">
        <v>31</v>
      </c>
      <c r="X129" s="23" t="s">
        <v>31</v>
      </c>
      <c r="Y129" s="23" t="s">
        <v>31</v>
      </c>
      <c r="Z129" s="23" t="s">
        <v>31</v>
      </c>
      <c r="AA129" s="23" t="s">
        <v>31</v>
      </c>
      <c r="AB129" s="23" t="s">
        <v>269</v>
      </c>
      <c r="AC129" s="187" t="s">
        <v>527</v>
      </c>
      <c r="AD129" s="187">
        <v>4</v>
      </c>
      <c r="AE129" s="187" t="s">
        <v>402</v>
      </c>
      <c r="AF129" s="187"/>
      <c r="AG129" s="187"/>
      <c r="AH129" s="123" t="str">
        <f>IF(AG129=1,'BU FACILITIES'!$G$24,"")</f>
        <v/>
      </c>
      <c r="AI129" s="187" t="s">
        <v>402</v>
      </c>
      <c r="AJ129" s="196">
        <v>1</v>
      </c>
      <c r="AK129" s="120">
        <f>AJ129*'BU FACILITIES'!$G$21</f>
        <v>1714.6341463414635</v>
      </c>
      <c r="AL129" s="196">
        <v>0</v>
      </c>
      <c r="AM129" s="121">
        <f>PRODUCT( AL129,'BU FACILITIES'!$G$22)</f>
        <v>0</v>
      </c>
      <c r="AN129" s="187"/>
      <c r="AO129" s="187"/>
      <c r="AP129" s="125" t="str">
        <f>IF(AO129=1,'BU FACILITIES'!$G$23,"")</f>
        <v/>
      </c>
      <c r="AQ129" s="187"/>
      <c r="AR129" s="187"/>
      <c r="AS129" s="122" t="str">
        <f>IF(AR129=300,AQ129*'BU FACILITIES'!$G$4, IF(AND(AR129&gt;300,AR129&lt;=500), AQ129*'BU FACILITIES'!$G$5, IF(AND(AR129&gt;500,AR129&lt;=1250), AQ129*'BU FACILITIES'!$G$6, IF(AND(AR129&gt;1250,AR129&lt;=2000),AQ129*'BU FACILITIES'!$G$7, ""))))</f>
        <v/>
      </c>
      <c r="AT129" s="187"/>
      <c r="AU129" s="187"/>
      <c r="AV129" s="122" t="str">
        <f>IF(AU129=100,AT129*'BU FACILITIES'!$G$8, IF(AND(AU129&gt;100,AU129&lt;=500), AT129*'BU FACILITIES'!$G$9, IF(AND(AU129&gt;500,AU129&lt;=800), AT129*'BU FACILITIES'!$G$10, IF(AND(AU129&gt;800,AU129&lt;=1000),AT129*'BU FACILITIES'!$G$11, IF(AND(AU129&gt;1000,AU129&lt;=1400),AT129*'BU FACILITIES'!$G$12, IF(AND(AU129&gt;1400,AU129&lt;=2000),AT129*'BU FACILITIES'!$G$13,""))))))</f>
        <v/>
      </c>
      <c r="AW129" s="187"/>
      <c r="AX129" s="187"/>
      <c r="AY129" s="122" t="str">
        <f>IF(AX129=30,AW129*'BU FACILITIES'!$G$14, IF(AX129=45, AW129*'BU FACILITIES'!$G$15, IF(AX129=450, AW129*'BU FACILITIES'!$G$16, "")))</f>
        <v/>
      </c>
      <c r="AZ129" s="187"/>
      <c r="BA129" s="187"/>
      <c r="BB129" s="187" t="str">
        <f>IF(AND(BA129&gt;=1,BA129&lt;=5),'BU FACILITIES'!$G$17, IF(AND(BA129&gt;5, BA129&lt;=10), 'BU FACILITIES'!$G$18, IF(AND(BA129&gt;10,BA129&lt;=20),'BU FACILITIES'!$G$19,"")))</f>
        <v/>
      </c>
      <c r="BC129" s="187"/>
      <c r="BD129" s="195" t="str">
        <f>IF(AND(AZ129="Modificar ductería de AA",BC129=1), 'BU FACILITIES'!$G$20, "")</f>
        <v/>
      </c>
    </row>
    <row r="130" spans="1:57" s="3" customFormat="1" ht="12.75" hidden="1" x14ac:dyDescent="0.2">
      <c r="A130" s="24" t="s">
        <v>241</v>
      </c>
      <c r="B130" s="23" t="s">
        <v>242</v>
      </c>
      <c r="C130" s="23" t="s">
        <v>243</v>
      </c>
      <c r="D130" s="38" t="s">
        <v>352</v>
      </c>
      <c r="E130" s="23" t="s">
        <v>245</v>
      </c>
      <c r="F130" s="23">
        <v>2023</v>
      </c>
      <c r="G130" s="23" t="s">
        <v>143</v>
      </c>
      <c r="H130" s="23" t="s">
        <v>143</v>
      </c>
      <c r="I130" s="23" t="s">
        <v>31</v>
      </c>
      <c r="J130" s="23" t="s">
        <v>246</v>
      </c>
      <c r="K130" s="23">
        <v>0</v>
      </c>
      <c r="L130" s="23">
        <v>0</v>
      </c>
      <c r="M130" s="23">
        <v>400</v>
      </c>
      <c r="N130" s="131">
        <v>600</v>
      </c>
      <c r="O130" s="23" t="s">
        <v>31</v>
      </c>
      <c r="P130" s="23">
        <f t="shared" si="6"/>
        <v>1200</v>
      </c>
      <c r="Q130" s="217">
        <f t="shared" si="5"/>
        <v>0.5</v>
      </c>
      <c r="R130" s="126" t="e">
        <f>VLOOKUP(G130,#REF!,11,0)*Q130</f>
        <v>#REF!</v>
      </c>
      <c r="S130" s="23" t="s">
        <v>247</v>
      </c>
      <c r="T130" s="23" t="s">
        <v>248</v>
      </c>
      <c r="U130" s="23" t="s">
        <v>31</v>
      </c>
      <c r="V130" s="23" t="s">
        <v>31</v>
      </c>
      <c r="W130" s="23" t="s">
        <v>31</v>
      </c>
      <c r="X130" s="23" t="s">
        <v>31</v>
      </c>
      <c r="Y130" s="23" t="s">
        <v>31</v>
      </c>
      <c r="Z130" s="23" t="s">
        <v>31</v>
      </c>
      <c r="AA130" s="23" t="s">
        <v>31</v>
      </c>
      <c r="AB130" s="23" t="s">
        <v>269</v>
      </c>
      <c r="AC130" s="187" t="s">
        <v>502</v>
      </c>
      <c r="AD130" s="187">
        <v>3</v>
      </c>
      <c r="AE130" s="187" t="s">
        <v>402</v>
      </c>
      <c r="AF130" s="187"/>
      <c r="AG130" s="187"/>
      <c r="AH130" s="123" t="str">
        <f>IF(AG130=1,'BU FACILITIES'!$G$24,"")</f>
        <v/>
      </c>
      <c r="AI130" s="187"/>
      <c r="AJ130" s="196">
        <v>0</v>
      </c>
      <c r="AK130" s="120">
        <f>AJ130*'BU FACILITIES'!$G$21</f>
        <v>0</v>
      </c>
      <c r="AL130" s="196">
        <v>0</v>
      </c>
      <c r="AM130" s="121">
        <f>PRODUCT( AL130,'BU FACILITIES'!$G$22)</f>
        <v>0</v>
      </c>
      <c r="AN130" s="187"/>
      <c r="AO130" s="187"/>
      <c r="AP130" s="125" t="str">
        <f>IF(AO130=1,'BU FACILITIES'!$G$23,"")</f>
        <v/>
      </c>
      <c r="AQ130" s="187"/>
      <c r="AR130" s="187"/>
      <c r="AS130" s="122" t="str">
        <f>IF(AR130=300,AQ130*'BU FACILITIES'!$G$4, IF(AND(AR130&gt;300,AR130&lt;=500), AQ130*'BU FACILITIES'!$G$5, IF(AND(AR130&gt;500,AR130&lt;=1250), AQ130*'BU FACILITIES'!$G$6, IF(AND(AR130&gt;1250,AR130&lt;=2000),AQ130*'BU FACILITIES'!$G$7, ""))))</f>
        <v/>
      </c>
      <c r="AT130" s="187"/>
      <c r="AU130" s="187"/>
      <c r="AV130" s="122" t="str">
        <f>IF(AU130=100,AT130*'BU FACILITIES'!$G$8, IF(AND(AU130&gt;100,AU130&lt;=500), AT130*'BU FACILITIES'!$G$9, IF(AND(AU130&gt;500,AU130&lt;=800), AT130*'BU FACILITIES'!$G$10, IF(AND(AU130&gt;800,AU130&lt;=1000),AT130*'BU FACILITIES'!$G$11, IF(AND(AU130&gt;1000,AU130&lt;=1400),AT130*'BU FACILITIES'!$G$12, IF(AND(AU130&gt;1400,AU130&lt;=2000),AT130*'BU FACILITIES'!$G$13,""))))))</f>
        <v/>
      </c>
      <c r="AW130" s="187"/>
      <c r="AX130" s="187"/>
      <c r="AY130" s="122" t="str">
        <f>IF(AX130=30,AW130*'BU FACILITIES'!$G$14, IF(AX130=45, AW130*'BU FACILITIES'!$G$15, IF(AX130=450, AW130*'BU FACILITIES'!$G$16, "")))</f>
        <v/>
      </c>
      <c r="AZ130" s="187"/>
      <c r="BA130" s="187"/>
      <c r="BB130" s="187" t="str">
        <f>IF(AND(BA130&gt;=1,BA130&lt;=5),'BU FACILITIES'!$G$17, IF(AND(BA130&gt;5, BA130&lt;=10), 'BU FACILITIES'!$G$18, IF(AND(BA130&gt;10,BA130&lt;=20),'BU FACILITIES'!$G$19,"")))</f>
        <v/>
      </c>
      <c r="BC130" s="187"/>
      <c r="BD130" s="195" t="str">
        <f>IF(AND(AZ130="Modificar ductería de AA",BC130=1), 'BU FACILITIES'!$G$20, "")</f>
        <v/>
      </c>
    </row>
    <row r="131" spans="1:57" s="3" customFormat="1" ht="12.75" hidden="1" x14ac:dyDescent="0.2">
      <c r="A131" s="24" t="s">
        <v>241</v>
      </c>
      <c r="B131" s="23" t="s">
        <v>242</v>
      </c>
      <c r="C131" s="23" t="s">
        <v>243</v>
      </c>
      <c r="D131" s="38" t="s">
        <v>352</v>
      </c>
      <c r="E131" s="23" t="s">
        <v>245</v>
      </c>
      <c r="F131" s="23">
        <v>2023</v>
      </c>
      <c r="G131" s="23" t="s">
        <v>114</v>
      </c>
      <c r="H131" s="23" t="s">
        <v>66</v>
      </c>
      <c r="I131" s="23" t="s">
        <v>457</v>
      </c>
      <c r="J131" s="23" t="s">
        <v>246</v>
      </c>
      <c r="K131" s="23">
        <v>0</v>
      </c>
      <c r="L131" s="23">
        <v>0</v>
      </c>
      <c r="M131" s="23">
        <v>400</v>
      </c>
      <c r="N131" s="135">
        <v>600</v>
      </c>
      <c r="O131" s="23" t="s">
        <v>31</v>
      </c>
      <c r="P131" s="23">
        <f t="shared" si="6"/>
        <v>4650</v>
      </c>
      <c r="Q131" s="217">
        <f t="shared" si="5"/>
        <v>0.12903225806451613</v>
      </c>
      <c r="R131" s="126" t="e">
        <f>VLOOKUP(G131,#REF!,11,0)*Q131</f>
        <v>#REF!</v>
      </c>
      <c r="S131" s="23" t="s">
        <v>247</v>
      </c>
      <c r="T131" s="23" t="s">
        <v>248</v>
      </c>
      <c r="U131" s="23" t="s">
        <v>31</v>
      </c>
      <c r="V131" s="23" t="s">
        <v>31</v>
      </c>
      <c r="W131" s="23" t="s">
        <v>31</v>
      </c>
      <c r="X131" s="23" t="s">
        <v>31</v>
      </c>
      <c r="Y131" s="23" t="s">
        <v>31</v>
      </c>
      <c r="Z131" s="23" t="s">
        <v>31</v>
      </c>
      <c r="AA131" s="23" t="s">
        <v>31</v>
      </c>
      <c r="AB131" s="23" t="s">
        <v>269</v>
      </c>
      <c r="AC131" s="187"/>
      <c r="AD131" s="187">
        <v>4</v>
      </c>
      <c r="AE131" s="187" t="s">
        <v>402</v>
      </c>
      <c r="AF131" s="187"/>
      <c r="AG131" s="187"/>
      <c r="AH131" s="123" t="str">
        <f>IF(AG131=1,'BU FACILITIES'!$G$24,"")</f>
        <v/>
      </c>
      <c r="AI131" s="187"/>
      <c r="AJ131" s="196"/>
      <c r="AK131" s="120">
        <f>AJ131*'BU FACILITIES'!$G$21</f>
        <v>0</v>
      </c>
      <c r="AL131" s="196">
        <v>0</v>
      </c>
      <c r="AM131" s="121">
        <f>PRODUCT( AL131,'BU FACILITIES'!$G$22)</f>
        <v>0</v>
      </c>
      <c r="AN131" s="187"/>
      <c r="AO131" s="187"/>
      <c r="AP131" s="125" t="str">
        <f>IF(AO131=1,'BU FACILITIES'!$G$23,"")</f>
        <v/>
      </c>
      <c r="AQ131" s="187"/>
      <c r="AR131" s="187"/>
      <c r="AS131" s="122" t="str">
        <f>IF(AR131=300,AQ131*'BU FACILITIES'!$G$4, IF(AND(AR131&gt;300,AR131&lt;=500), AQ131*'BU FACILITIES'!$G$5, IF(AND(AR131&gt;500,AR131&lt;=1250), AQ131*'BU FACILITIES'!$G$6, IF(AND(AR131&gt;1250,AR131&lt;=2000),AQ131*'BU FACILITIES'!$G$7, ""))))</f>
        <v/>
      </c>
      <c r="AT131" s="187"/>
      <c r="AU131" s="187"/>
      <c r="AV131" s="122" t="str">
        <f>IF(AU131=100,AT131*'BU FACILITIES'!$G$8, IF(AND(AU131&gt;100,AU131&lt;=500), AT131*'BU FACILITIES'!$G$9, IF(AND(AU131&gt;500,AU131&lt;=800), AT131*'BU FACILITIES'!$G$10, IF(AND(AU131&gt;800,AU131&lt;=1000),AT131*'BU FACILITIES'!$G$11, IF(AND(AU131&gt;1000,AU131&lt;=1400),AT131*'BU FACILITIES'!$G$12, IF(AND(AU131&gt;1400,AU131&lt;=2000),AT131*'BU FACILITIES'!$G$13,""))))))</f>
        <v/>
      </c>
      <c r="AW131" s="187"/>
      <c r="AX131" s="187"/>
      <c r="AY131" s="122" t="str">
        <f>IF(AX131=30,AW131*'BU FACILITIES'!$G$14, IF(AX131=45, AW131*'BU FACILITIES'!$G$15, IF(AX131=450, AW131*'BU FACILITIES'!$G$16, "")))</f>
        <v/>
      </c>
      <c r="AZ131" s="187"/>
      <c r="BA131" s="187"/>
      <c r="BB131" s="187" t="str">
        <f>IF(AND(BA131&gt;=1,BA131&lt;=5),'BU FACILITIES'!$G$17, IF(AND(BA131&gt;5, BA131&lt;=10), 'BU FACILITIES'!$G$18, IF(AND(BA131&gt;10,BA131&lt;=20),'BU FACILITIES'!$G$19,"")))</f>
        <v/>
      </c>
      <c r="BC131" s="187"/>
      <c r="BD131" s="195" t="str">
        <f>IF(AND(AZ131="Modificar ductería de AA",BC131=1), 'BU FACILITIES'!$G$20, "")</f>
        <v/>
      </c>
    </row>
    <row r="132" spans="1:57" s="3" customFormat="1" ht="12.75" hidden="1" x14ac:dyDescent="0.2">
      <c r="A132" s="24" t="s">
        <v>241</v>
      </c>
      <c r="B132" s="23" t="s">
        <v>242</v>
      </c>
      <c r="C132" s="23" t="s">
        <v>243</v>
      </c>
      <c r="D132" s="38" t="s">
        <v>352</v>
      </c>
      <c r="E132" s="23" t="s">
        <v>245</v>
      </c>
      <c r="F132" s="23">
        <v>2023</v>
      </c>
      <c r="G132" s="23" t="s">
        <v>130</v>
      </c>
      <c r="H132" s="23" t="s">
        <v>130</v>
      </c>
      <c r="I132" s="23" t="s">
        <v>457</v>
      </c>
      <c r="J132" s="23" t="s">
        <v>246</v>
      </c>
      <c r="K132" s="23">
        <v>0</v>
      </c>
      <c r="L132" s="23">
        <v>0</v>
      </c>
      <c r="M132" s="23">
        <v>400</v>
      </c>
      <c r="N132" s="135">
        <v>600</v>
      </c>
      <c r="O132" s="23" t="s">
        <v>31</v>
      </c>
      <c r="P132" s="23">
        <f t="shared" si="6"/>
        <v>3450</v>
      </c>
      <c r="Q132" s="217">
        <f t="shared" si="5"/>
        <v>0.17391304347826086</v>
      </c>
      <c r="R132" s="126" t="e">
        <f>VLOOKUP(G132,#REF!,11,0)*Q132</f>
        <v>#REF!</v>
      </c>
      <c r="S132" s="23" t="s">
        <v>247</v>
      </c>
      <c r="T132" s="23" t="s">
        <v>248</v>
      </c>
      <c r="U132" s="23" t="s">
        <v>31</v>
      </c>
      <c r="V132" s="23" t="s">
        <v>31</v>
      </c>
      <c r="W132" s="23" t="s">
        <v>31</v>
      </c>
      <c r="X132" s="23" t="s">
        <v>31</v>
      </c>
      <c r="Y132" s="23" t="s">
        <v>31</v>
      </c>
      <c r="Z132" s="23" t="s">
        <v>31</v>
      </c>
      <c r="AA132" s="23" t="s">
        <v>31</v>
      </c>
      <c r="AB132" s="23" t="s">
        <v>269</v>
      </c>
      <c r="AC132" s="187"/>
      <c r="AD132" s="187">
        <v>3</v>
      </c>
      <c r="AE132" s="187" t="s">
        <v>402</v>
      </c>
      <c r="AF132" s="187"/>
      <c r="AG132" s="187"/>
      <c r="AH132" s="123" t="str">
        <f>IF(AG132=1,'BU FACILITIES'!$G$24,"")</f>
        <v/>
      </c>
      <c r="AI132" s="187"/>
      <c r="AJ132" s="196"/>
      <c r="AK132" s="120">
        <f>AJ132*'BU FACILITIES'!$G$21</f>
        <v>0</v>
      </c>
      <c r="AL132" s="196">
        <v>0</v>
      </c>
      <c r="AM132" s="121">
        <f>PRODUCT( AL132,'BU FACILITIES'!$G$22)</f>
        <v>0</v>
      </c>
      <c r="AN132" s="187"/>
      <c r="AO132" s="187"/>
      <c r="AP132" s="125" t="str">
        <f>IF(AO132=1,'BU FACILITIES'!$G$23,"")</f>
        <v/>
      </c>
      <c r="AQ132" s="187"/>
      <c r="AR132" s="187"/>
      <c r="AS132" s="122" t="str">
        <f>IF(AR132=300,AQ132*'BU FACILITIES'!$G$4, IF(AND(AR132&gt;300,AR132&lt;=500), AQ132*'BU FACILITIES'!$G$5, IF(AND(AR132&gt;500,AR132&lt;=1250), AQ132*'BU FACILITIES'!$G$6, IF(AND(AR132&gt;1250,AR132&lt;=2000),AQ132*'BU FACILITIES'!$G$7, ""))))</f>
        <v/>
      </c>
      <c r="AT132" s="187"/>
      <c r="AU132" s="187"/>
      <c r="AV132" s="122" t="str">
        <f>IF(AU132=100,AT132*'BU FACILITIES'!$G$8, IF(AND(AU132&gt;100,AU132&lt;=500), AT132*'BU FACILITIES'!$G$9, IF(AND(AU132&gt;500,AU132&lt;=800), AT132*'BU FACILITIES'!$G$10, IF(AND(AU132&gt;800,AU132&lt;=1000),AT132*'BU FACILITIES'!$G$11, IF(AND(AU132&gt;1000,AU132&lt;=1400),AT132*'BU FACILITIES'!$G$12, IF(AND(AU132&gt;1400,AU132&lt;=2000),AT132*'BU FACILITIES'!$G$13,""))))))</f>
        <v/>
      </c>
      <c r="AW132" s="187"/>
      <c r="AX132" s="187"/>
      <c r="AY132" s="122" t="str">
        <f>IF(AX132=30,AW132*'BU FACILITIES'!$G$14, IF(AX132=45, AW132*'BU FACILITIES'!$G$15, IF(AX132=450, AW132*'BU FACILITIES'!$G$16, "")))</f>
        <v/>
      </c>
      <c r="AZ132" s="187"/>
      <c r="BA132" s="187"/>
      <c r="BB132" s="187" t="str">
        <f>IF(AND(BA132&gt;=1,BA132&lt;=5),'BU FACILITIES'!$G$17, IF(AND(BA132&gt;5, BA132&lt;=10), 'BU FACILITIES'!$G$18, IF(AND(BA132&gt;10,BA132&lt;=20),'BU FACILITIES'!$G$19,"")))</f>
        <v/>
      </c>
      <c r="BC132" s="187"/>
      <c r="BD132" s="195" t="str">
        <f>IF(AND(AZ132="Modificar ductería de AA",BC132=1), 'BU FACILITIES'!$G$20, "")</f>
        <v/>
      </c>
    </row>
    <row r="133" spans="1:57" s="3" customFormat="1" ht="12.75" hidden="1" x14ac:dyDescent="0.2">
      <c r="A133" s="24" t="s">
        <v>241</v>
      </c>
      <c r="B133" s="23" t="s">
        <v>242</v>
      </c>
      <c r="C133" s="23" t="s">
        <v>243</v>
      </c>
      <c r="D133" s="38" t="s">
        <v>352</v>
      </c>
      <c r="E133" s="23" t="s">
        <v>245</v>
      </c>
      <c r="F133" s="23">
        <v>2023</v>
      </c>
      <c r="G133" s="23" t="s">
        <v>37</v>
      </c>
      <c r="H133" s="23" t="s">
        <v>66</v>
      </c>
      <c r="I133" s="23" t="s">
        <v>457</v>
      </c>
      <c r="J133" s="23" t="s">
        <v>246</v>
      </c>
      <c r="K133" s="23">
        <v>0</v>
      </c>
      <c r="L133" s="23">
        <v>0</v>
      </c>
      <c r="M133" s="23">
        <v>400</v>
      </c>
      <c r="N133" s="135">
        <v>600</v>
      </c>
      <c r="O133" s="23" t="s">
        <v>31</v>
      </c>
      <c r="P133" s="23">
        <f t="shared" si="6"/>
        <v>1800</v>
      </c>
      <c r="Q133" s="217">
        <f t="shared" si="5"/>
        <v>0.33333333333333331</v>
      </c>
      <c r="R133" s="126" t="e">
        <f>VLOOKUP(G133,#REF!,11,0)*Q133</f>
        <v>#REF!</v>
      </c>
      <c r="S133" s="23" t="s">
        <v>247</v>
      </c>
      <c r="T133" s="23" t="s">
        <v>248</v>
      </c>
      <c r="U133" s="23" t="s">
        <v>31</v>
      </c>
      <c r="V133" s="23" t="s">
        <v>31</v>
      </c>
      <c r="W133" s="23" t="s">
        <v>31</v>
      </c>
      <c r="X133" s="23" t="s">
        <v>31</v>
      </c>
      <c r="Y133" s="23" t="s">
        <v>31</v>
      </c>
      <c r="Z133" s="23" t="s">
        <v>31</v>
      </c>
      <c r="AA133" s="23" t="s">
        <v>31</v>
      </c>
      <c r="AB133" s="23" t="s">
        <v>269</v>
      </c>
      <c r="AC133" s="187"/>
      <c r="AD133" s="187">
        <v>4</v>
      </c>
      <c r="AE133" s="187" t="s">
        <v>402</v>
      </c>
      <c r="AF133" s="187"/>
      <c r="AG133" s="187"/>
      <c r="AH133" s="123" t="str">
        <f>IF(AG133=1,'BU FACILITIES'!$G$24,"")</f>
        <v/>
      </c>
      <c r="AI133" s="187"/>
      <c r="AJ133" s="196"/>
      <c r="AK133" s="120">
        <f>AJ133*'BU FACILITIES'!$G$21</f>
        <v>0</v>
      </c>
      <c r="AL133" s="196">
        <v>0</v>
      </c>
      <c r="AM133" s="121">
        <f>PRODUCT( AL133,'BU FACILITIES'!$G$22)</f>
        <v>0</v>
      </c>
      <c r="AN133" s="187"/>
      <c r="AO133" s="187"/>
      <c r="AP133" s="125" t="str">
        <f>IF(AO133=1,'BU FACILITIES'!$G$23,"")</f>
        <v/>
      </c>
      <c r="AQ133" s="187"/>
      <c r="AR133" s="187"/>
      <c r="AS133" s="122" t="str">
        <f>IF(AR133=300,AQ133*'BU FACILITIES'!$G$4, IF(AND(AR133&gt;300,AR133&lt;=500), AQ133*'BU FACILITIES'!$G$5, IF(AND(AR133&gt;500,AR133&lt;=1250), AQ133*'BU FACILITIES'!$G$6, IF(AND(AR133&gt;1250,AR133&lt;=2000),AQ133*'BU FACILITIES'!$G$7, ""))))</f>
        <v/>
      </c>
      <c r="AT133" s="187"/>
      <c r="AU133" s="187"/>
      <c r="AV133" s="122" t="str">
        <f>IF(AU133=100,AT133*'BU FACILITIES'!$G$8, IF(AND(AU133&gt;100,AU133&lt;=500), AT133*'BU FACILITIES'!$G$9, IF(AND(AU133&gt;500,AU133&lt;=800), AT133*'BU FACILITIES'!$G$10, IF(AND(AU133&gt;800,AU133&lt;=1000),AT133*'BU FACILITIES'!$G$11, IF(AND(AU133&gt;1000,AU133&lt;=1400),AT133*'BU FACILITIES'!$G$12, IF(AND(AU133&gt;1400,AU133&lt;=2000),AT133*'BU FACILITIES'!$G$13,""))))))</f>
        <v/>
      </c>
      <c r="AW133" s="187"/>
      <c r="AX133" s="187"/>
      <c r="AY133" s="122" t="str">
        <f>IF(AX133=30,AW133*'BU FACILITIES'!$G$14, IF(AX133=45, AW133*'BU FACILITIES'!$G$15, IF(AX133=450, AW133*'BU FACILITIES'!$G$16, "")))</f>
        <v/>
      </c>
      <c r="AZ133" s="187"/>
      <c r="BA133" s="187"/>
      <c r="BB133" s="187" t="str">
        <f>IF(AND(BA133&gt;=1,BA133&lt;=5),'BU FACILITIES'!$G$17, IF(AND(BA133&gt;5, BA133&lt;=10), 'BU FACILITIES'!$G$18, IF(AND(BA133&gt;10,BA133&lt;=20),'BU FACILITIES'!$G$19,"")))</f>
        <v/>
      </c>
      <c r="BC133" s="187"/>
      <c r="BD133" s="195" t="str">
        <f>IF(AND(AZ133="Modificar ductería de AA",BC133=1), 'BU FACILITIES'!$G$20, "")</f>
        <v/>
      </c>
    </row>
    <row r="134" spans="1:57" s="3" customFormat="1" ht="12.75" hidden="1" x14ac:dyDescent="0.2">
      <c r="A134" s="24" t="s">
        <v>241</v>
      </c>
      <c r="B134" s="23" t="s">
        <v>242</v>
      </c>
      <c r="C134" s="23" t="s">
        <v>243</v>
      </c>
      <c r="D134" s="38" t="s">
        <v>352</v>
      </c>
      <c r="E134" s="23" t="s">
        <v>245</v>
      </c>
      <c r="F134" s="23">
        <v>2023</v>
      </c>
      <c r="G134" s="23" t="s">
        <v>72</v>
      </c>
      <c r="H134" s="23" t="s">
        <v>66</v>
      </c>
      <c r="I134" s="23" t="s">
        <v>457</v>
      </c>
      <c r="J134" s="23" t="s">
        <v>246</v>
      </c>
      <c r="K134" s="23">
        <v>0</v>
      </c>
      <c r="L134" s="23">
        <v>0</v>
      </c>
      <c r="M134" s="23">
        <v>400</v>
      </c>
      <c r="N134" s="135">
        <v>600</v>
      </c>
      <c r="O134" s="23" t="s">
        <v>31</v>
      </c>
      <c r="P134" s="23">
        <f t="shared" si="6"/>
        <v>2400</v>
      </c>
      <c r="Q134" s="217">
        <f t="shared" si="5"/>
        <v>0.25</v>
      </c>
      <c r="R134" s="126" t="e">
        <f>VLOOKUP(G134,#REF!,11,0)*Q134</f>
        <v>#REF!</v>
      </c>
      <c r="S134" s="23" t="s">
        <v>247</v>
      </c>
      <c r="T134" s="23" t="s">
        <v>248</v>
      </c>
      <c r="U134" s="23" t="s">
        <v>31</v>
      </c>
      <c r="V134" s="23" t="s">
        <v>31</v>
      </c>
      <c r="W134" s="23" t="s">
        <v>31</v>
      </c>
      <c r="X134" s="23" t="s">
        <v>31</v>
      </c>
      <c r="Y134" s="23" t="s">
        <v>31</v>
      </c>
      <c r="Z134" s="23" t="s">
        <v>31</v>
      </c>
      <c r="AA134" s="23" t="s">
        <v>31</v>
      </c>
      <c r="AB134" s="23" t="s">
        <v>269</v>
      </c>
      <c r="AC134" s="187"/>
      <c r="AD134" s="187">
        <v>3</v>
      </c>
      <c r="AE134" s="187" t="s">
        <v>402</v>
      </c>
      <c r="AF134" s="187"/>
      <c r="AG134" s="187"/>
      <c r="AH134" s="123" t="str">
        <f>IF(AG134=1,'BU FACILITIES'!$G$24,"")</f>
        <v/>
      </c>
      <c r="AI134" s="187"/>
      <c r="AJ134" s="196"/>
      <c r="AK134" s="120">
        <f>AJ134*'BU FACILITIES'!$G$21</f>
        <v>0</v>
      </c>
      <c r="AL134" s="196">
        <v>0</v>
      </c>
      <c r="AM134" s="121">
        <f>PRODUCT( AL134,'BU FACILITIES'!$G$22)</f>
        <v>0</v>
      </c>
      <c r="AN134" s="187"/>
      <c r="AO134" s="187"/>
      <c r="AP134" s="125" t="str">
        <f>IF(AO134=1,'BU FACILITIES'!$G$23,"")</f>
        <v/>
      </c>
      <c r="AQ134" s="187"/>
      <c r="AR134" s="187"/>
      <c r="AS134" s="122" t="str">
        <f>IF(AR134=300,AQ134*'BU FACILITIES'!$G$4, IF(AND(AR134&gt;300,AR134&lt;=500), AQ134*'BU FACILITIES'!$G$5, IF(AND(AR134&gt;500,AR134&lt;=1250), AQ134*'BU FACILITIES'!$G$6, IF(AND(AR134&gt;1250,AR134&lt;=2000),AQ134*'BU FACILITIES'!$G$7, ""))))</f>
        <v/>
      </c>
      <c r="AT134" s="187"/>
      <c r="AU134" s="187"/>
      <c r="AV134" s="122" t="str">
        <f>IF(AU134=100,AT134*'BU FACILITIES'!$G$8, IF(AND(AU134&gt;100,AU134&lt;=500), AT134*'BU FACILITIES'!$G$9, IF(AND(AU134&gt;500,AU134&lt;=800), AT134*'BU FACILITIES'!$G$10, IF(AND(AU134&gt;800,AU134&lt;=1000),AT134*'BU FACILITIES'!$G$11, IF(AND(AU134&gt;1000,AU134&lt;=1400),AT134*'BU FACILITIES'!$G$12, IF(AND(AU134&gt;1400,AU134&lt;=2000),AT134*'BU FACILITIES'!$G$13,""))))))</f>
        <v/>
      </c>
      <c r="AW134" s="187"/>
      <c r="AX134" s="187"/>
      <c r="AY134" s="122" t="str">
        <f>IF(AX134=30,AW134*'BU FACILITIES'!$G$14, IF(AX134=45, AW134*'BU FACILITIES'!$G$15, IF(AX134=450, AW134*'BU FACILITIES'!$G$16, "")))</f>
        <v/>
      </c>
      <c r="AZ134" s="187"/>
      <c r="BA134" s="187"/>
      <c r="BB134" s="187" t="str">
        <f>IF(AND(BA134&gt;=1,BA134&lt;=5),'BU FACILITIES'!$G$17, IF(AND(BA134&gt;5, BA134&lt;=10), 'BU FACILITIES'!$G$18, IF(AND(BA134&gt;10,BA134&lt;=20),'BU FACILITIES'!$G$19,"")))</f>
        <v/>
      </c>
      <c r="BC134" s="187"/>
      <c r="BD134" s="195" t="str">
        <f>IF(AND(AZ134="Modificar ductería de AA",BC134=1), 'BU FACILITIES'!$G$20, "")</f>
        <v/>
      </c>
    </row>
    <row r="135" spans="1:57" s="3" customFormat="1" ht="12.75" hidden="1" x14ac:dyDescent="0.2">
      <c r="A135" s="24" t="s">
        <v>241</v>
      </c>
      <c r="B135" s="23" t="s">
        <v>242</v>
      </c>
      <c r="C135" s="23" t="s">
        <v>243</v>
      </c>
      <c r="D135" s="38" t="s">
        <v>352</v>
      </c>
      <c r="E135" s="23" t="s">
        <v>245</v>
      </c>
      <c r="F135" s="23">
        <v>2023</v>
      </c>
      <c r="G135" s="23" t="s">
        <v>131</v>
      </c>
      <c r="H135" s="23" t="s">
        <v>131</v>
      </c>
      <c r="I135" s="23" t="s">
        <v>457</v>
      </c>
      <c r="J135" s="23" t="s">
        <v>246</v>
      </c>
      <c r="K135" s="23">
        <v>0</v>
      </c>
      <c r="L135" s="23">
        <v>0</v>
      </c>
      <c r="M135" s="23">
        <v>400</v>
      </c>
      <c r="N135" s="135">
        <v>600</v>
      </c>
      <c r="O135" s="23" t="s">
        <v>31</v>
      </c>
      <c r="P135" s="23">
        <f t="shared" si="6"/>
        <v>4050</v>
      </c>
      <c r="Q135" s="217">
        <f t="shared" si="5"/>
        <v>0.14814814814814814</v>
      </c>
      <c r="R135" s="222" t="e">
        <f>VLOOKUP(G135,#REF!,11,0)*Q135</f>
        <v>#REF!</v>
      </c>
      <c r="S135" s="23" t="s">
        <v>247</v>
      </c>
      <c r="T135" s="23" t="s">
        <v>248</v>
      </c>
      <c r="U135" s="23" t="s">
        <v>31</v>
      </c>
      <c r="V135" s="23" t="s">
        <v>31</v>
      </c>
      <c r="W135" s="23" t="s">
        <v>31</v>
      </c>
      <c r="X135" s="23" t="s">
        <v>31</v>
      </c>
      <c r="Y135" s="23" t="s">
        <v>31</v>
      </c>
      <c r="Z135" s="23" t="s">
        <v>31</v>
      </c>
      <c r="AA135" s="23" t="s">
        <v>31</v>
      </c>
      <c r="AB135" s="23" t="s">
        <v>269</v>
      </c>
      <c r="AC135" s="187"/>
      <c r="AD135" s="187"/>
      <c r="AE135" s="187" t="s">
        <v>402</v>
      </c>
      <c r="AF135" s="187"/>
      <c r="AG135" s="187"/>
      <c r="AH135" s="123" t="str">
        <f>IF(AG135=1,'BU FACILITIES'!$G$24,"")</f>
        <v/>
      </c>
      <c r="AI135" s="187"/>
      <c r="AJ135" s="196"/>
      <c r="AK135" s="120">
        <f>AJ135*'BU FACILITIES'!$G$21</f>
        <v>0</v>
      </c>
      <c r="AL135" s="196">
        <v>0</v>
      </c>
      <c r="AM135" s="121">
        <f>PRODUCT( AL135,'BU FACILITIES'!$G$22)</f>
        <v>0</v>
      </c>
      <c r="AN135" s="187"/>
      <c r="AO135" s="187"/>
      <c r="AP135" s="125" t="str">
        <f>IF(AO135=1,'BU FACILITIES'!$G$23,"")</f>
        <v/>
      </c>
      <c r="AQ135" s="187"/>
      <c r="AR135" s="187"/>
      <c r="AS135" s="122" t="str">
        <f>IF(AR135=300,AQ135*'BU FACILITIES'!$G$4, IF(AND(AR135&gt;300,AR135&lt;=500), AQ135*'BU FACILITIES'!$G$5, IF(AND(AR135&gt;500,AR135&lt;=1250), AQ135*'BU FACILITIES'!$G$6, IF(AND(AR135&gt;1250,AR135&lt;=2000),AQ135*'BU FACILITIES'!$G$7, ""))))</f>
        <v/>
      </c>
      <c r="AT135" s="187"/>
      <c r="AU135" s="187"/>
      <c r="AV135" s="122" t="str">
        <f>IF(AU135=100,AT135*'BU FACILITIES'!$G$8, IF(AND(AU135&gt;100,AU135&lt;=500), AT135*'BU FACILITIES'!$G$9, IF(AND(AU135&gt;500,AU135&lt;=800), AT135*'BU FACILITIES'!$G$10, IF(AND(AU135&gt;800,AU135&lt;=1000),AT135*'BU FACILITIES'!$G$11, IF(AND(AU135&gt;1000,AU135&lt;=1400),AT135*'BU FACILITIES'!$G$12, IF(AND(AU135&gt;1400,AU135&lt;=2000),AT135*'BU FACILITIES'!$G$13,""))))))</f>
        <v/>
      </c>
      <c r="AW135" s="187"/>
      <c r="AX135" s="187"/>
      <c r="AY135" s="122" t="str">
        <f>IF(AX135=30,AW135*'BU FACILITIES'!$G$14, IF(AX135=45, AW135*'BU FACILITIES'!$G$15, IF(AX135=450, AW135*'BU FACILITIES'!$G$16, "")))</f>
        <v/>
      </c>
      <c r="AZ135" s="187"/>
      <c r="BA135" s="187"/>
      <c r="BB135" s="187" t="str">
        <f>IF(AND(BA135&gt;=1,BA135&lt;=5),'BU FACILITIES'!$G$17, IF(AND(BA135&gt;5, BA135&lt;=10), 'BU FACILITIES'!$G$18, IF(AND(BA135&gt;10,BA135&lt;=20),'BU FACILITIES'!$G$19,"")))</f>
        <v/>
      </c>
      <c r="BC135" s="187"/>
      <c r="BD135" s="195" t="str">
        <f>IF(AND(AZ135="Modificar ductería de AA",BC135=1), 'BU FACILITIES'!$G$20, "")</f>
        <v/>
      </c>
    </row>
    <row r="136" spans="1:57" s="3" customFormat="1" ht="12.75" hidden="1" x14ac:dyDescent="0.2">
      <c r="A136" s="24" t="s">
        <v>241</v>
      </c>
      <c r="B136" s="23" t="s">
        <v>242</v>
      </c>
      <c r="C136" s="23" t="s">
        <v>243</v>
      </c>
      <c r="D136" s="38" t="s">
        <v>352</v>
      </c>
      <c r="E136" s="23" t="s">
        <v>245</v>
      </c>
      <c r="F136" s="23">
        <v>2023</v>
      </c>
      <c r="G136" s="23" t="s">
        <v>124</v>
      </c>
      <c r="H136" s="23" t="s">
        <v>66</v>
      </c>
      <c r="I136" s="23" t="s">
        <v>457</v>
      </c>
      <c r="J136" s="23" t="s">
        <v>246</v>
      </c>
      <c r="K136" s="23">
        <v>0</v>
      </c>
      <c r="L136" s="23">
        <v>0</v>
      </c>
      <c r="M136" s="23">
        <v>400</v>
      </c>
      <c r="N136" s="135">
        <v>600</v>
      </c>
      <c r="O136" s="23" t="s">
        <v>31</v>
      </c>
      <c r="P136" s="23">
        <f t="shared" si="6"/>
        <v>1200</v>
      </c>
      <c r="Q136" s="217">
        <f t="shared" si="5"/>
        <v>0.5</v>
      </c>
      <c r="R136" s="126" t="e">
        <f>VLOOKUP(G136,#REF!,11,0)*Q136</f>
        <v>#REF!</v>
      </c>
      <c r="S136" s="23" t="s">
        <v>247</v>
      </c>
      <c r="T136" s="23" t="s">
        <v>248</v>
      </c>
      <c r="U136" s="23" t="s">
        <v>31</v>
      </c>
      <c r="V136" s="23" t="s">
        <v>31</v>
      </c>
      <c r="W136" s="23" t="s">
        <v>31</v>
      </c>
      <c r="X136" s="23" t="s">
        <v>31</v>
      </c>
      <c r="Y136" s="23" t="s">
        <v>31</v>
      </c>
      <c r="Z136" s="23" t="s">
        <v>31</v>
      </c>
      <c r="AA136" s="23" t="s">
        <v>31</v>
      </c>
      <c r="AB136" s="23" t="s">
        <v>269</v>
      </c>
      <c r="AC136" s="187"/>
      <c r="AD136" s="187">
        <v>3</v>
      </c>
      <c r="AE136" s="187" t="s">
        <v>460</v>
      </c>
      <c r="AF136" s="187"/>
      <c r="AG136" s="187"/>
      <c r="AH136" s="123" t="str">
        <f>IF(AG136=1,'BU FACILITIES'!$G$24,"")</f>
        <v/>
      </c>
      <c r="AI136" s="187"/>
      <c r="AJ136" s="196"/>
      <c r="AK136" s="120">
        <f>AJ136*'BU FACILITIES'!$G$21</f>
        <v>0</v>
      </c>
      <c r="AL136" s="196">
        <v>0</v>
      </c>
      <c r="AM136" s="121">
        <f>PRODUCT( AL136,'BU FACILITIES'!$G$22)</f>
        <v>0</v>
      </c>
      <c r="AN136" s="187"/>
      <c r="AO136" s="187"/>
      <c r="AP136" s="125" t="str">
        <f>IF(AO136=1,'BU FACILITIES'!$G$23,"")</f>
        <v/>
      </c>
      <c r="AQ136" s="187"/>
      <c r="AR136" s="187"/>
      <c r="AS136" s="122" t="str">
        <f>IF(AR136=300,AQ136*'BU FACILITIES'!$G$4, IF(AND(AR136&gt;300,AR136&lt;=500), AQ136*'BU FACILITIES'!$G$5, IF(AND(AR136&gt;500,AR136&lt;=1250), AQ136*'BU FACILITIES'!$G$6, IF(AND(AR136&gt;1250,AR136&lt;=2000),AQ136*'BU FACILITIES'!$G$7, ""))))</f>
        <v/>
      </c>
      <c r="AT136" s="187"/>
      <c r="AU136" s="187"/>
      <c r="AV136" s="122" t="str">
        <f>IF(AU136=100,AT136*'BU FACILITIES'!$G$8, IF(AND(AU136&gt;100,AU136&lt;=500), AT136*'BU FACILITIES'!$G$9, IF(AND(AU136&gt;500,AU136&lt;=800), AT136*'BU FACILITIES'!$G$10, IF(AND(AU136&gt;800,AU136&lt;=1000),AT136*'BU FACILITIES'!$G$11, IF(AND(AU136&gt;1000,AU136&lt;=1400),AT136*'BU FACILITIES'!$G$12, IF(AND(AU136&gt;1400,AU136&lt;=2000),AT136*'BU FACILITIES'!$G$13,""))))))</f>
        <v/>
      </c>
      <c r="AW136" s="187"/>
      <c r="AX136" s="187"/>
      <c r="AY136" s="122" t="str">
        <f>IF(AX136=30,AW136*'BU FACILITIES'!$G$14, IF(AX136=45, AW136*'BU FACILITIES'!$G$15, IF(AX136=450, AW136*'BU FACILITIES'!$G$16, "")))</f>
        <v/>
      </c>
      <c r="AZ136" s="187"/>
      <c r="BA136" s="187"/>
      <c r="BB136" s="187" t="str">
        <f>IF(AND(BA136&gt;=1,BA136&lt;=5),'BU FACILITIES'!$G$17, IF(AND(BA136&gt;5, BA136&lt;=10), 'BU FACILITIES'!$G$18, IF(AND(BA136&gt;10,BA136&lt;=20),'BU FACILITIES'!$G$19,"")))</f>
        <v/>
      </c>
      <c r="BC136" s="187"/>
      <c r="BD136" s="195" t="str">
        <f>IF(AND(AZ136="Modificar ductería de AA",BC136=1), 'BU FACILITIES'!$G$20, "")</f>
        <v/>
      </c>
    </row>
    <row r="137" spans="1:57" s="3" customFormat="1" ht="12.75" hidden="1" x14ac:dyDescent="0.2">
      <c r="A137" s="24" t="s">
        <v>241</v>
      </c>
      <c r="B137" s="23" t="s">
        <v>242</v>
      </c>
      <c r="C137" s="23" t="s">
        <v>243</v>
      </c>
      <c r="D137" s="38" t="s">
        <v>352</v>
      </c>
      <c r="E137" s="23" t="s">
        <v>245</v>
      </c>
      <c r="F137" s="23">
        <v>2023</v>
      </c>
      <c r="G137" s="23" t="s">
        <v>262</v>
      </c>
      <c r="H137" s="23" t="s">
        <v>66</v>
      </c>
      <c r="I137" s="23" t="s">
        <v>457</v>
      </c>
      <c r="J137" s="23" t="s">
        <v>246</v>
      </c>
      <c r="K137" s="23">
        <v>0</v>
      </c>
      <c r="L137" s="23">
        <v>0</v>
      </c>
      <c r="M137" s="23">
        <v>400</v>
      </c>
      <c r="N137" s="135">
        <v>600</v>
      </c>
      <c r="O137" s="23" t="s">
        <v>31</v>
      </c>
      <c r="P137" s="23">
        <f t="shared" si="6"/>
        <v>1800</v>
      </c>
      <c r="Q137" s="217">
        <f t="shared" si="5"/>
        <v>0.33333333333333331</v>
      </c>
      <c r="R137" s="126" t="e">
        <f>VLOOKUP(G137,#REF!,11,0)*Q137</f>
        <v>#REF!</v>
      </c>
      <c r="S137" s="23" t="s">
        <v>247</v>
      </c>
      <c r="T137" s="23" t="s">
        <v>248</v>
      </c>
      <c r="U137" s="23" t="s">
        <v>31</v>
      </c>
      <c r="V137" s="23" t="s">
        <v>31</v>
      </c>
      <c r="W137" s="23" t="s">
        <v>31</v>
      </c>
      <c r="X137" s="23" t="s">
        <v>31</v>
      </c>
      <c r="Y137" s="23" t="s">
        <v>31</v>
      </c>
      <c r="Z137" s="23" t="s">
        <v>31</v>
      </c>
      <c r="AA137" s="23" t="s">
        <v>31</v>
      </c>
      <c r="AB137" s="23" t="s">
        <v>269</v>
      </c>
      <c r="AC137" s="187"/>
      <c r="AD137" s="187">
        <v>5</v>
      </c>
      <c r="AE137" s="187" t="s">
        <v>402</v>
      </c>
      <c r="AF137" s="187"/>
      <c r="AG137" s="187"/>
      <c r="AH137" s="123" t="str">
        <f>IF(AG137=1,'BU FACILITIES'!$G$24,"")</f>
        <v/>
      </c>
      <c r="AI137" s="187"/>
      <c r="AJ137" s="196"/>
      <c r="AK137" s="120">
        <f>AJ137*'BU FACILITIES'!$G$21</f>
        <v>0</v>
      </c>
      <c r="AL137" s="196">
        <v>0</v>
      </c>
      <c r="AM137" s="121">
        <f>PRODUCT( AL137,'BU FACILITIES'!$G$22)</f>
        <v>0</v>
      </c>
      <c r="AN137" s="187"/>
      <c r="AO137" s="187"/>
      <c r="AP137" s="125" t="str">
        <f>IF(AO137=1,'BU FACILITIES'!$G$23,"")</f>
        <v/>
      </c>
      <c r="AQ137" s="187"/>
      <c r="AR137" s="187"/>
      <c r="AS137" s="122" t="str">
        <f>IF(AR137=300,AQ137*'BU FACILITIES'!$G$4, IF(AND(AR137&gt;300,AR137&lt;=500), AQ137*'BU FACILITIES'!$G$5, IF(AND(AR137&gt;500,AR137&lt;=1250), AQ137*'BU FACILITIES'!$G$6, IF(AND(AR137&gt;1250,AR137&lt;=2000),AQ137*'BU FACILITIES'!$G$7, ""))))</f>
        <v/>
      </c>
      <c r="AT137" s="187"/>
      <c r="AU137" s="187"/>
      <c r="AV137" s="122" t="str">
        <f>IF(AU137=100,AT137*'BU FACILITIES'!$G$8, IF(AND(AU137&gt;100,AU137&lt;=500), AT137*'BU FACILITIES'!$G$9, IF(AND(AU137&gt;500,AU137&lt;=800), AT137*'BU FACILITIES'!$G$10, IF(AND(AU137&gt;800,AU137&lt;=1000),AT137*'BU FACILITIES'!$G$11, IF(AND(AU137&gt;1000,AU137&lt;=1400),AT137*'BU FACILITIES'!$G$12, IF(AND(AU137&gt;1400,AU137&lt;=2000),AT137*'BU FACILITIES'!$G$13,""))))))</f>
        <v/>
      </c>
      <c r="AW137" s="187"/>
      <c r="AX137" s="187"/>
      <c r="AY137" s="122" t="str">
        <f>IF(AX137=30,AW137*'BU FACILITIES'!$G$14, IF(AX137=45, AW137*'BU FACILITIES'!$G$15, IF(AX137=450, AW137*'BU FACILITIES'!$G$16, "")))</f>
        <v/>
      </c>
      <c r="AZ137" s="187"/>
      <c r="BA137" s="187"/>
      <c r="BB137" s="187" t="str">
        <f>IF(AND(BA137&gt;=1,BA137&lt;=5),'BU FACILITIES'!$G$17, IF(AND(BA137&gt;5, BA137&lt;=10), 'BU FACILITIES'!$G$18, IF(AND(BA137&gt;10,BA137&lt;=20),'BU FACILITIES'!$G$19,"")))</f>
        <v/>
      </c>
      <c r="BC137" s="187"/>
      <c r="BD137" s="195" t="str">
        <f>IF(AND(AZ137="Modificar ductería de AA",BC137=1), 'BU FACILITIES'!$G$20, "")</f>
        <v/>
      </c>
    </row>
    <row r="138" spans="1:57" s="3" customFormat="1" ht="12.75" hidden="1" x14ac:dyDescent="0.2">
      <c r="A138" s="24" t="s">
        <v>241</v>
      </c>
      <c r="B138" s="23" t="s">
        <v>242</v>
      </c>
      <c r="C138" s="23" t="s">
        <v>243</v>
      </c>
      <c r="D138" s="38" t="s">
        <v>352</v>
      </c>
      <c r="E138" s="23" t="s">
        <v>245</v>
      </c>
      <c r="F138" s="23">
        <v>2023</v>
      </c>
      <c r="G138" s="23" t="s">
        <v>263</v>
      </c>
      <c r="H138" s="23" t="s">
        <v>66</v>
      </c>
      <c r="I138" s="23" t="s">
        <v>457</v>
      </c>
      <c r="J138" s="23" t="s">
        <v>246</v>
      </c>
      <c r="K138" s="23">
        <v>0</v>
      </c>
      <c r="L138" s="23">
        <v>0</v>
      </c>
      <c r="M138" s="23">
        <v>400</v>
      </c>
      <c r="N138" s="135">
        <v>600</v>
      </c>
      <c r="O138" s="23" t="s">
        <v>31</v>
      </c>
      <c r="P138" s="23">
        <f t="shared" si="6"/>
        <v>4050</v>
      </c>
      <c r="Q138" s="217">
        <f t="shared" si="5"/>
        <v>0.14814814814814814</v>
      </c>
      <c r="R138" s="126" t="e">
        <f>VLOOKUP(G138,#REF!,11,0)*Q138</f>
        <v>#REF!</v>
      </c>
      <c r="S138" s="23" t="s">
        <v>247</v>
      </c>
      <c r="T138" s="23" t="s">
        <v>248</v>
      </c>
      <c r="U138" s="23" t="s">
        <v>31</v>
      </c>
      <c r="V138" s="23" t="s">
        <v>31</v>
      </c>
      <c r="W138" s="23" t="s">
        <v>31</v>
      </c>
      <c r="X138" s="23" t="s">
        <v>31</v>
      </c>
      <c r="Y138" s="23" t="s">
        <v>31</v>
      </c>
      <c r="Z138" s="23" t="s">
        <v>31</v>
      </c>
      <c r="AA138" s="23" t="s">
        <v>31</v>
      </c>
      <c r="AB138" s="23" t="s">
        <v>269</v>
      </c>
      <c r="AC138" s="187"/>
      <c r="AD138" s="187">
        <v>5</v>
      </c>
      <c r="AE138" s="187" t="s">
        <v>402</v>
      </c>
      <c r="AF138" s="187"/>
      <c r="AG138" s="187"/>
      <c r="AH138" s="123" t="str">
        <f>IF(AG138=1,'BU FACILITIES'!$G$24,"")</f>
        <v/>
      </c>
      <c r="AI138" s="187"/>
      <c r="AJ138" s="196"/>
      <c r="AK138" s="120">
        <f>AJ138*'BU FACILITIES'!$G$21</f>
        <v>0</v>
      </c>
      <c r="AL138" s="196">
        <v>0</v>
      </c>
      <c r="AM138" s="121">
        <f>PRODUCT( AL138,'BU FACILITIES'!$G$22)</f>
        <v>0</v>
      </c>
      <c r="AN138" s="187"/>
      <c r="AO138" s="187"/>
      <c r="AP138" s="125" t="str">
        <f>IF(AO138=1,'BU FACILITIES'!$G$23,"")</f>
        <v/>
      </c>
      <c r="AQ138" s="187"/>
      <c r="AR138" s="187"/>
      <c r="AS138" s="122" t="str">
        <f>IF(AR138=300,AQ138*'BU FACILITIES'!$G$4, IF(AND(AR138&gt;300,AR138&lt;=500), AQ138*'BU FACILITIES'!$G$5, IF(AND(AR138&gt;500,AR138&lt;=1250), AQ138*'BU FACILITIES'!$G$6, IF(AND(AR138&gt;1250,AR138&lt;=2000),AQ138*'BU FACILITIES'!$G$7, ""))))</f>
        <v/>
      </c>
      <c r="AT138" s="187"/>
      <c r="AU138" s="187"/>
      <c r="AV138" s="122" t="str">
        <f>IF(AU138=100,AT138*'BU FACILITIES'!$G$8, IF(AND(AU138&gt;100,AU138&lt;=500), AT138*'BU FACILITIES'!$G$9, IF(AND(AU138&gt;500,AU138&lt;=800), AT138*'BU FACILITIES'!$G$10, IF(AND(AU138&gt;800,AU138&lt;=1000),AT138*'BU FACILITIES'!$G$11, IF(AND(AU138&gt;1000,AU138&lt;=1400),AT138*'BU FACILITIES'!$G$12, IF(AND(AU138&gt;1400,AU138&lt;=2000),AT138*'BU FACILITIES'!$G$13,""))))))</f>
        <v/>
      </c>
      <c r="AW138" s="187"/>
      <c r="AX138" s="187"/>
      <c r="AY138" s="122" t="str">
        <f>IF(AX138=30,AW138*'BU FACILITIES'!$G$14, IF(AX138=45, AW138*'BU FACILITIES'!$G$15, IF(AX138=450, AW138*'BU FACILITIES'!$G$16, "")))</f>
        <v/>
      </c>
      <c r="AZ138" s="187"/>
      <c r="BA138" s="187"/>
      <c r="BB138" s="187" t="str">
        <f>IF(AND(BA138&gt;=1,BA138&lt;=5),'BU FACILITIES'!$G$17, IF(AND(BA138&gt;5, BA138&lt;=10), 'BU FACILITIES'!$G$18, IF(AND(BA138&gt;10,BA138&lt;=20),'BU FACILITIES'!$G$19,"")))</f>
        <v/>
      </c>
      <c r="BC138" s="187"/>
      <c r="BD138" s="195" t="str">
        <f>IF(AND(AZ138="Modificar ductería de AA",BC138=1), 'BU FACILITIES'!$G$20, "")</f>
        <v/>
      </c>
      <c r="BE138" s="199" t="s">
        <v>514</v>
      </c>
    </row>
    <row r="139" spans="1:57" s="3" customFormat="1" ht="12.75" hidden="1" x14ac:dyDescent="0.2">
      <c r="A139" s="24" t="s">
        <v>241</v>
      </c>
      <c r="B139" s="23" t="s">
        <v>242</v>
      </c>
      <c r="C139" s="23" t="s">
        <v>243</v>
      </c>
      <c r="D139" s="38" t="s">
        <v>352</v>
      </c>
      <c r="E139" s="23" t="s">
        <v>245</v>
      </c>
      <c r="F139" s="23">
        <v>2023</v>
      </c>
      <c r="G139" s="23" t="s">
        <v>65</v>
      </c>
      <c r="H139" s="82" t="s">
        <v>65</v>
      </c>
      <c r="I139" s="80" t="s">
        <v>457</v>
      </c>
      <c r="J139" s="23" t="s">
        <v>246</v>
      </c>
      <c r="K139" s="23">
        <v>0</v>
      </c>
      <c r="L139" s="23">
        <v>0</v>
      </c>
      <c r="M139" s="23">
        <v>400</v>
      </c>
      <c r="N139" s="135">
        <v>600</v>
      </c>
      <c r="O139" s="23" t="s">
        <v>31</v>
      </c>
      <c r="P139" s="23">
        <f t="shared" si="6"/>
        <v>4050</v>
      </c>
      <c r="Q139" s="217">
        <f t="shared" si="5"/>
        <v>0.14814814814814814</v>
      </c>
      <c r="R139" s="126" t="e">
        <f>VLOOKUP(G139,#REF!,11,0)*Q139</f>
        <v>#REF!</v>
      </c>
      <c r="S139" s="23" t="s">
        <v>247</v>
      </c>
      <c r="T139" s="23" t="s">
        <v>248</v>
      </c>
      <c r="U139" s="23" t="s">
        <v>31</v>
      </c>
      <c r="V139" s="23" t="s">
        <v>31</v>
      </c>
      <c r="W139" s="23" t="s">
        <v>31</v>
      </c>
      <c r="X139" s="23" t="s">
        <v>31</v>
      </c>
      <c r="Y139" s="23" t="s">
        <v>31</v>
      </c>
      <c r="Z139" s="23" t="s">
        <v>31</v>
      </c>
      <c r="AA139" s="23" t="s">
        <v>31</v>
      </c>
      <c r="AB139" s="23" t="s">
        <v>269</v>
      </c>
      <c r="AC139" s="187"/>
      <c r="AD139" s="187">
        <v>4</v>
      </c>
      <c r="AE139" s="187" t="s">
        <v>402</v>
      </c>
      <c r="AF139" s="187"/>
      <c r="AG139" s="187"/>
      <c r="AH139" s="123" t="str">
        <f>IF(AG139=1,'BU FACILITIES'!$G$24,"")</f>
        <v/>
      </c>
      <c r="AI139" s="187"/>
      <c r="AJ139" s="196"/>
      <c r="AK139" s="120">
        <f>AJ139*'BU FACILITIES'!$G$21</f>
        <v>0</v>
      </c>
      <c r="AL139" s="196">
        <v>0</v>
      </c>
      <c r="AM139" s="121">
        <f>PRODUCT( AL139,'BU FACILITIES'!$G$22)</f>
        <v>0</v>
      </c>
      <c r="AN139" s="187"/>
      <c r="AO139" s="187"/>
      <c r="AP139" s="125" t="str">
        <f>IF(AO139=1,'BU FACILITIES'!$G$23,"")</f>
        <v/>
      </c>
      <c r="AQ139" s="187"/>
      <c r="AR139" s="187"/>
      <c r="AS139" s="122" t="str">
        <f>IF(AR139=300,AQ139*'BU FACILITIES'!$G$4, IF(AND(AR139&gt;300,AR139&lt;=500), AQ139*'BU FACILITIES'!$G$5, IF(AND(AR139&gt;500,AR139&lt;=1250), AQ139*'BU FACILITIES'!$G$6, IF(AND(AR139&gt;1250,AR139&lt;=2000),AQ139*'BU FACILITIES'!$G$7, ""))))</f>
        <v/>
      </c>
      <c r="AT139" s="187"/>
      <c r="AU139" s="187"/>
      <c r="AV139" s="122" t="str">
        <f>IF(AU139=100,AT139*'BU FACILITIES'!$G$8, IF(AND(AU139&gt;100,AU139&lt;=500), AT139*'BU FACILITIES'!$G$9, IF(AND(AU139&gt;500,AU139&lt;=800), AT139*'BU FACILITIES'!$G$10, IF(AND(AU139&gt;800,AU139&lt;=1000),AT139*'BU FACILITIES'!$G$11, IF(AND(AU139&gt;1000,AU139&lt;=1400),AT139*'BU FACILITIES'!$G$12, IF(AND(AU139&gt;1400,AU139&lt;=2000),AT139*'BU FACILITIES'!$G$13,""))))))</f>
        <v/>
      </c>
      <c r="AW139" s="187"/>
      <c r="AX139" s="187"/>
      <c r="AY139" s="122" t="str">
        <f>IF(AX139=30,AW139*'BU FACILITIES'!$G$14, IF(AX139=45, AW139*'BU FACILITIES'!$G$15, IF(AX139=450, AW139*'BU FACILITIES'!$G$16, "")))</f>
        <v/>
      </c>
      <c r="AZ139" s="187"/>
      <c r="BA139" s="187"/>
      <c r="BB139" s="187" t="str">
        <f>IF(AND(BA139&gt;=1,BA139&lt;=5),'BU FACILITIES'!$G$17, IF(AND(BA139&gt;5, BA139&lt;=10), 'BU FACILITIES'!$G$18, IF(AND(BA139&gt;10,BA139&lt;=20),'BU FACILITIES'!$G$19,"")))</f>
        <v/>
      </c>
      <c r="BC139" s="187"/>
      <c r="BD139" s="195" t="str">
        <f>IF(AND(AZ139="Modificar ductería de AA",BC139=1), 'BU FACILITIES'!$G$20, "")</f>
        <v/>
      </c>
    </row>
    <row r="140" spans="1:57" s="3" customFormat="1" ht="12.75" hidden="1" x14ac:dyDescent="0.2">
      <c r="A140" s="24" t="s">
        <v>241</v>
      </c>
      <c r="B140" s="23" t="s">
        <v>242</v>
      </c>
      <c r="C140" s="23" t="s">
        <v>243</v>
      </c>
      <c r="D140" s="38" t="s">
        <v>352</v>
      </c>
      <c r="E140" s="23" t="s">
        <v>245</v>
      </c>
      <c r="F140" s="23">
        <v>2023</v>
      </c>
      <c r="G140" s="23" t="s">
        <v>68</v>
      </c>
      <c r="H140" s="23" t="s">
        <v>68</v>
      </c>
      <c r="I140" s="23" t="s">
        <v>457</v>
      </c>
      <c r="J140" s="23" t="s">
        <v>246</v>
      </c>
      <c r="K140" s="23">
        <v>0</v>
      </c>
      <c r="L140" s="23">
        <v>0</v>
      </c>
      <c r="M140" s="23">
        <v>400</v>
      </c>
      <c r="N140" s="135">
        <v>600</v>
      </c>
      <c r="O140" s="23" t="s">
        <v>31</v>
      </c>
      <c r="P140" s="23">
        <f t="shared" si="6"/>
        <v>1200</v>
      </c>
      <c r="Q140" s="217">
        <f t="shared" si="5"/>
        <v>0.5</v>
      </c>
      <c r="R140" s="126" t="e">
        <f>VLOOKUP(G140,#REF!,11,0)*Q140</f>
        <v>#REF!</v>
      </c>
      <c r="S140" s="23" t="s">
        <v>247</v>
      </c>
      <c r="T140" s="23" t="s">
        <v>248</v>
      </c>
      <c r="U140" s="23" t="s">
        <v>31</v>
      </c>
      <c r="V140" s="23" t="s">
        <v>31</v>
      </c>
      <c r="W140" s="23" t="s">
        <v>31</v>
      </c>
      <c r="X140" s="23" t="s">
        <v>31</v>
      </c>
      <c r="Y140" s="23" t="s">
        <v>31</v>
      </c>
      <c r="Z140" s="23" t="s">
        <v>31</v>
      </c>
      <c r="AA140" s="23" t="s">
        <v>31</v>
      </c>
      <c r="AB140" s="23" t="s">
        <v>269</v>
      </c>
      <c r="AC140" s="166"/>
      <c r="AD140" s="187">
        <v>4</v>
      </c>
      <c r="AE140" s="187" t="s">
        <v>402</v>
      </c>
      <c r="AF140" s="187"/>
      <c r="AG140" s="187"/>
      <c r="AH140" s="123" t="str">
        <f>IF(AG140=1,'BU FACILITIES'!$G$24,"")</f>
        <v/>
      </c>
      <c r="AI140" s="187"/>
      <c r="AJ140" s="196"/>
      <c r="AK140" s="120">
        <f>AJ140*'BU FACILITIES'!$G$21</f>
        <v>0</v>
      </c>
      <c r="AL140" s="196">
        <v>0</v>
      </c>
      <c r="AM140" s="121">
        <f>PRODUCT( AL140,'BU FACILITIES'!$G$22)</f>
        <v>0</v>
      </c>
      <c r="AN140" s="187"/>
      <c r="AO140" s="187"/>
      <c r="AP140" s="125" t="str">
        <f>IF(AO140=1,'BU FACILITIES'!$G$23,"")</f>
        <v/>
      </c>
      <c r="AQ140" s="187"/>
      <c r="AR140" s="187"/>
      <c r="AS140" s="122" t="str">
        <f>IF(AR140=300,AQ140*'BU FACILITIES'!$G$4, IF(AND(AR140&gt;300,AR140&lt;=500), AQ140*'BU FACILITIES'!$G$5, IF(AND(AR140&gt;500,AR140&lt;=1250), AQ140*'BU FACILITIES'!$G$6, IF(AND(AR140&gt;1250,AR140&lt;=2000),AQ140*'BU FACILITIES'!$G$7, ""))))</f>
        <v/>
      </c>
      <c r="AT140" s="187"/>
      <c r="AU140" s="187"/>
      <c r="AV140" s="122" t="str">
        <f>IF(AU140=100,AT140*'BU FACILITIES'!$G$8, IF(AND(AU140&gt;100,AU140&lt;=500), AT140*'BU FACILITIES'!$G$9, IF(AND(AU140&gt;500,AU140&lt;=800), AT140*'BU FACILITIES'!$G$10, IF(AND(AU140&gt;800,AU140&lt;=1000),AT140*'BU FACILITIES'!$G$11, IF(AND(AU140&gt;1000,AU140&lt;=1400),AT140*'BU FACILITIES'!$G$12, IF(AND(AU140&gt;1400,AU140&lt;=2000),AT140*'BU FACILITIES'!$G$13,""))))))</f>
        <v/>
      </c>
      <c r="AW140" s="187"/>
      <c r="AX140" s="187"/>
      <c r="AY140" s="122" t="str">
        <f>IF(AX140=30,AW140*'BU FACILITIES'!$G$14, IF(AX140=45, AW140*'BU FACILITIES'!$G$15, IF(AX140=450, AW140*'BU FACILITIES'!$G$16, "")))</f>
        <v/>
      </c>
      <c r="AZ140" s="187"/>
      <c r="BA140" s="187"/>
      <c r="BB140" s="187" t="str">
        <f>IF(AND(BA140&gt;=1,BA140&lt;=5),'BU FACILITIES'!$G$17, IF(AND(BA140&gt;5, BA140&lt;=10), 'BU FACILITIES'!$G$18, IF(AND(BA140&gt;10,BA140&lt;=20),'BU FACILITIES'!$G$19,"")))</f>
        <v/>
      </c>
      <c r="BC140" s="187"/>
      <c r="BD140" s="195" t="str">
        <f>IF(AND(AZ140="Modificar ductería de AA",BC140=1), 'BU FACILITIES'!$G$20, "")</f>
        <v/>
      </c>
    </row>
    <row r="141" spans="1:57" s="3" customFormat="1" ht="12.75" hidden="1" x14ac:dyDescent="0.2">
      <c r="A141" s="24" t="s">
        <v>241</v>
      </c>
      <c r="B141" s="23" t="s">
        <v>242</v>
      </c>
      <c r="C141" s="23" t="s">
        <v>243</v>
      </c>
      <c r="D141" s="38" t="s">
        <v>352</v>
      </c>
      <c r="E141" s="23" t="s">
        <v>245</v>
      </c>
      <c r="F141" s="23">
        <v>2023</v>
      </c>
      <c r="G141" s="23" t="s">
        <v>71</v>
      </c>
      <c r="H141" s="23" t="s">
        <v>57</v>
      </c>
      <c r="I141" s="23" t="s">
        <v>31</v>
      </c>
      <c r="J141" s="23" t="s">
        <v>246</v>
      </c>
      <c r="K141" s="23">
        <v>0</v>
      </c>
      <c r="L141" s="23">
        <v>0</v>
      </c>
      <c r="M141" s="23">
        <v>400</v>
      </c>
      <c r="N141" s="135">
        <v>600</v>
      </c>
      <c r="O141" s="23" t="s">
        <v>31</v>
      </c>
      <c r="P141" s="23">
        <f t="shared" si="6"/>
        <v>1800</v>
      </c>
      <c r="Q141" s="217">
        <f t="shared" si="5"/>
        <v>0.33333333333333331</v>
      </c>
      <c r="R141" s="126" t="e">
        <f>VLOOKUP(G141,#REF!,11,0)*Q141</f>
        <v>#REF!</v>
      </c>
      <c r="S141" s="23" t="s">
        <v>247</v>
      </c>
      <c r="T141" s="23" t="s">
        <v>248</v>
      </c>
      <c r="U141" s="23" t="s">
        <v>31</v>
      </c>
      <c r="V141" s="23" t="s">
        <v>31</v>
      </c>
      <c r="W141" s="23" t="s">
        <v>31</v>
      </c>
      <c r="X141" s="23" t="s">
        <v>31</v>
      </c>
      <c r="Y141" s="23" t="s">
        <v>31</v>
      </c>
      <c r="Z141" s="23" t="s">
        <v>31</v>
      </c>
      <c r="AA141" s="23" t="s">
        <v>31</v>
      </c>
      <c r="AB141" s="23" t="s">
        <v>269</v>
      </c>
      <c r="AC141" s="187" t="s">
        <v>472</v>
      </c>
      <c r="AD141" s="187" t="s">
        <v>473</v>
      </c>
      <c r="AE141" s="187" t="s">
        <v>402</v>
      </c>
      <c r="AF141" s="187"/>
      <c r="AG141" s="187"/>
      <c r="AH141" s="123" t="str">
        <f>IF(AG141=1,'BU FACILITIES'!$G$24,"")</f>
        <v/>
      </c>
      <c r="AI141" s="187"/>
      <c r="AJ141" s="196"/>
      <c r="AK141" s="120">
        <f>AJ141*'BU FACILITIES'!$G$21</f>
        <v>0</v>
      </c>
      <c r="AL141" s="196">
        <v>0</v>
      </c>
      <c r="AM141" s="121">
        <f>PRODUCT( AL141,'BU FACILITIES'!$G$22)</f>
        <v>0</v>
      </c>
      <c r="AN141" s="187"/>
      <c r="AO141" s="187"/>
      <c r="AP141" s="125" t="str">
        <f>IF(AO141=1,'BU FACILITIES'!$G$23,"")</f>
        <v/>
      </c>
      <c r="AQ141" s="187"/>
      <c r="AR141" s="187"/>
      <c r="AS141" s="122" t="str">
        <f>IF(AR141=300,AQ141*'BU FACILITIES'!$G$4, IF(AND(AR141&gt;300,AR141&lt;=500), AQ141*'BU FACILITIES'!$G$5, IF(AND(AR141&gt;500,AR141&lt;=1250), AQ141*'BU FACILITIES'!$G$6, IF(AND(AR141&gt;1250,AR141&lt;=2000),AQ141*'BU FACILITIES'!$G$7, ""))))</f>
        <v/>
      </c>
      <c r="AT141" s="187"/>
      <c r="AU141" s="187"/>
      <c r="AV141" s="122" t="str">
        <f>IF(AU141=100,AT141*'BU FACILITIES'!$G$8, IF(AND(AU141&gt;100,AU141&lt;=500), AT141*'BU FACILITIES'!$G$9, IF(AND(AU141&gt;500,AU141&lt;=800), AT141*'BU FACILITIES'!$G$10, IF(AND(AU141&gt;800,AU141&lt;=1000),AT141*'BU FACILITIES'!$G$11, IF(AND(AU141&gt;1000,AU141&lt;=1400),AT141*'BU FACILITIES'!$G$12, IF(AND(AU141&gt;1400,AU141&lt;=2000),AT141*'BU FACILITIES'!$G$13,""))))))</f>
        <v/>
      </c>
      <c r="AW141" s="187"/>
      <c r="AX141" s="187"/>
      <c r="AY141" s="122" t="str">
        <f>IF(AX141=30,AW141*'BU FACILITIES'!$G$14, IF(AX141=45, AW141*'BU FACILITIES'!$G$15, IF(AX141=450, AW141*'BU FACILITIES'!$G$16, "")))</f>
        <v/>
      </c>
      <c r="AZ141" s="187"/>
      <c r="BA141" s="187"/>
      <c r="BB141" s="187" t="str">
        <f>IF(AND(BA141&gt;=1,BA141&lt;=5),'BU FACILITIES'!$G$17, IF(AND(BA141&gt;5, BA141&lt;=10), 'BU FACILITIES'!$G$18, IF(AND(BA141&gt;10,BA141&lt;=20),'BU FACILITIES'!$G$19,"")))</f>
        <v/>
      </c>
      <c r="BC141" s="187"/>
      <c r="BD141" s="195" t="str">
        <f>IF(AND(AZ141="Modificar ductería de AA",BC141=1), 'BU FACILITIES'!$G$20, "")</f>
        <v/>
      </c>
    </row>
    <row r="142" spans="1:57" s="3" customFormat="1" ht="12.75" hidden="1" x14ac:dyDescent="0.2">
      <c r="A142" s="24" t="s">
        <v>241</v>
      </c>
      <c r="B142" s="23" t="s">
        <v>242</v>
      </c>
      <c r="C142" s="23" t="s">
        <v>243</v>
      </c>
      <c r="D142" s="38" t="s">
        <v>352</v>
      </c>
      <c r="E142" s="23" t="s">
        <v>245</v>
      </c>
      <c r="F142" s="23">
        <v>2023</v>
      </c>
      <c r="G142" s="23" t="s">
        <v>123</v>
      </c>
      <c r="H142" s="23" t="s">
        <v>66</v>
      </c>
      <c r="I142" s="23" t="s">
        <v>457</v>
      </c>
      <c r="J142" s="23" t="s">
        <v>246</v>
      </c>
      <c r="K142" s="23">
        <v>0</v>
      </c>
      <c r="L142" s="23">
        <v>0</v>
      </c>
      <c r="M142" s="23">
        <v>400</v>
      </c>
      <c r="N142" s="135">
        <v>600</v>
      </c>
      <c r="O142" s="23" t="s">
        <v>31</v>
      </c>
      <c r="P142" s="23">
        <f t="shared" si="6"/>
        <v>4050</v>
      </c>
      <c r="Q142" s="217">
        <f t="shared" ref="Q142:Q172" si="7">IF(N142&lt;&gt;0,N142/P142,"0")</f>
        <v>0.14814814814814814</v>
      </c>
      <c r="R142" s="126" t="e">
        <f>VLOOKUP(G142,#REF!,11,0)*Q142</f>
        <v>#REF!</v>
      </c>
      <c r="S142" s="23" t="s">
        <v>247</v>
      </c>
      <c r="T142" s="23" t="s">
        <v>248</v>
      </c>
      <c r="U142" s="23" t="s">
        <v>31</v>
      </c>
      <c r="V142" s="23" t="s">
        <v>31</v>
      </c>
      <c r="W142" s="23" t="s">
        <v>31</v>
      </c>
      <c r="X142" s="23" t="s">
        <v>31</v>
      </c>
      <c r="Y142" s="23" t="s">
        <v>31</v>
      </c>
      <c r="Z142" s="23" t="s">
        <v>31</v>
      </c>
      <c r="AA142" s="23" t="s">
        <v>31</v>
      </c>
      <c r="AB142" s="23" t="s">
        <v>269</v>
      </c>
      <c r="AC142" s="187"/>
      <c r="AD142" s="187"/>
      <c r="AE142" s="187" t="s">
        <v>402</v>
      </c>
      <c r="AF142" s="187"/>
      <c r="AG142" s="187"/>
      <c r="AH142" s="123" t="str">
        <f>IF(AG142=1,'BU FACILITIES'!$G$24,"")</f>
        <v/>
      </c>
      <c r="AI142" s="187"/>
      <c r="AJ142" s="196"/>
      <c r="AK142" s="120">
        <f>AJ142*'BU FACILITIES'!$G$21</f>
        <v>0</v>
      </c>
      <c r="AL142" s="196">
        <v>0</v>
      </c>
      <c r="AM142" s="121">
        <f>PRODUCT( AL142,'BU FACILITIES'!$G$22)</f>
        <v>0</v>
      </c>
      <c r="AN142" s="187"/>
      <c r="AO142" s="187"/>
      <c r="AP142" s="125" t="str">
        <f>IF(AO142=1,'BU FACILITIES'!$G$23,"")</f>
        <v/>
      </c>
      <c r="AQ142" s="187"/>
      <c r="AR142" s="187"/>
      <c r="AS142" s="122" t="str">
        <f>IF(AR142=300,AQ142*'BU FACILITIES'!$G$4, IF(AND(AR142&gt;300,AR142&lt;=500), AQ142*'BU FACILITIES'!$G$5, IF(AND(AR142&gt;500,AR142&lt;=1250), AQ142*'BU FACILITIES'!$G$6, IF(AND(AR142&gt;1250,AR142&lt;=2000),AQ142*'BU FACILITIES'!$G$7, ""))))</f>
        <v/>
      </c>
      <c r="AT142" s="187"/>
      <c r="AU142" s="187"/>
      <c r="AV142" s="122" t="str">
        <f>IF(AU142=100,AT142*'BU FACILITIES'!$G$8, IF(AND(AU142&gt;100,AU142&lt;=500), AT142*'BU FACILITIES'!$G$9, IF(AND(AU142&gt;500,AU142&lt;=800), AT142*'BU FACILITIES'!$G$10, IF(AND(AU142&gt;800,AU142&lt;=1000),AT142*'BU FACILITIES'!$G$11, IF(AND(AU142&gt;1000,AU142&lt;=1400),AT142*'BU FACILITIES'!$G$12, IF(AND(AU142&gt;1400,AU142&lt;=2000),AT142*'BU FACILITIES'!$G$13,""))))))</f>
        <v/>
      </c>
      <c r="AW142" s="187"/>
      <c r="AX142" s="187"/>
      <c r="AY142" s="122" t="str">
        <f>IF(AX142=30,AW142*'BU FACILITIES'!$G$14, IF(AX142=45, AW142*'BU FACILITIES'!$G$15, IF(AX142=450, AW142*'BU FACILITIES'!$G$16, "")))</f>
        <v/>
      </c>
      <c r="AZ142" s="187"/>
      <c r="BA142" s="187"/>
      <c r="BB142" s="187" t="str">
        <f>IF(AND(BA142&gt;=1,BA142&lt;=5),'BU FACILITIES'!$G$17, IF(AND(BA142&gt;5, BA142&lt;=10), 'BU FACILITIES'!$G$18, IF(AND(BA142&gt;10,BA142&lt;=20),'BU FACILITIES'!$G$19,"")))</f>
        <v/>
      </c>
      <c r="BC142" s="187"/>
      <c r="BD142" s="195" t="str">
        <f>IF(AND(AZ142="Modificar ductería de AA",BC142=1), 'BU FACILITIES'!$G$20, "")</f>
        <v/>
      </c>
    </row>
    <row r="143" spans="1:57" s="3" customFormat="1" ht="12.75" hidden="1" x14ac:dyDescent="0.2">
      <c r="A143" s="24" t="s">
        <v>241</v>
      </c>
      <c r="B143" s="23" t="s">
        <v>242</v>
      </c>
      <c r="C143" s="23" t="s">
        <v>243</v>
      </c>
      <c r="D143" s="38" t="s">
        <v>352</v>
      </c>
      <c r="E143" s="23" t="s">
        <v>245</v>
      </c>
      <c r="F143" s="23">
        <v>2023</v>
      </c>
      <c r="G143" s="23" t="s">
        <v>256</v>
      </c>
      <c r="H143" s="23" t="s">
        <v>135</v>
      </c>
      <c r="I143" s="23" t="s">
        <v>31</v>
      </c>
      <c r="J143" s="23" t="s">
        <v>246</v>
      </c>
      <c r="K143" s="23">
        <v>0</v>
      </c>
      <c r="L143" s="23">
        <v>0</v>
      </c>
      <c r="M143" s="23">
        <v>400</v>
      </c>
      <c r="N143" s="135">
        <v>600</v>
      </c>
      <c r="O143" s="23" t="s">
        <v>31</v>
      </c>
      <c r="P143" s="23">
        <f t="shared" si="6"/>
        <v>1800</v>
      </c>
      <c r="Q143" s="217">
        <f t="shared" si="7"/>
        <v>0.33333333333333331</v>
      </c>
      <c r="R143" s="126" t="e">
        <f>VLOOKUP(G143,#REF!,11,0)*Q143</f>
        <v>#REF!</v>
      </c>
      <c r="S143" s="23" t="s">
        <v>247</v>
      </c>
      <c r="T143" s="23" t="s">
        <v>248</v>
      </c>
      <c r="U143" s="23" t="s">
        <v>31</v>
      </c>
      <c r="V143" s="23" t="s">
        <v>31</v>
      </c>
      <c r="W143" s="23" t="s">
        <v>31</v>
      </c>
      <c r="X143" s="23" t="s">
        <v>31</v>
      </c>
      <c r="Y143" s="23" t="s">
        <v>31</v>
      </c>
      <c r="Z143" s="23" t="s">
        <v>31</v>
      </c>
      <c r="AA143" s="23" t="s">
        <v>31</v>
      </c>
      <c r="AB143" s="23" t="s">
        <v>269</v>
      </c>
      <c r="AC143" s="187" t="s">
        <v>527</v>
      </c>
      <c r="AD143" s="187">
        <v>3</v>
      </c>
      <c r="AE143" s="187" t="s">
        <v>402</v>
      </c>
      <c r="AF143" s="187"/>
      <c r="AG143" s="187"/>
      <c r="AH143" s="123" t="str">
        <f>IF(AG143=1,'BU FACILITIES'!$G$24,"")</f>
        <v/>
      </c>
      <c r="AI143" s="187"/>
      <c r="AJ143" s="196"/>
      <c r="AK143" s="120">
        <f>AJ143*'BU FACILITIES'!$G$21</f>
        <v>0</v>
      </c>
      <c r="AL143" s="196">
        <v>0</v>
      </c>
      <c r="AM143" s="121">
        <f>PRODUCT( AL143,'BU FACILITIES'!$G$22)</f>
        <v>0</v>
      </c>
      <c r="AN143" s="187"/>
      <c r="AO143" s="187"/>
      <c r="AP143" s="125" t="str">
        <f>IF(AO143=1,'BU FACILITIES'!$G$23,"")</f>
        <v/>
      </c>
      <c r="AQ143" s="187"/>
      <c r="AR143" s="187"/>
      <c r="AS143" s="122" t="str">
        <f>IF(AR143=300,AQ143*'BU FACILITIES'!$G$4, IF(AND(AR143&gt;300,AR143&lt;=500), AQ143*'BU FACILITIES'!$G$5, IF(AND(AR143&gt;500,AR143&lt;=1250), AQ143*'BU FACILITIES'!$G$6, IF(AND(AR143&gt;1250,AR143&lt;=2000),AQ143*'BU FACILITIES'!$G$7, ""))))</f>
        <v/>
      </c>
      <c r="AT143" s="187"/>
      <c r="AU143" s="187"/>
      <c r="AV143" s="122" t="str">
        <f>IF(AU143=100,AT143*'BU FACILITIES'!$G$8, IF(AND(AU143&gt;100,AU143&lt;=500), AT143*'BU FACILITIES'!$G$9, IF(AND(AU143&gt;500,AU143&lt;=800), AT143*'BU FACILITIES'!$G$10, IF(AND(AU143&gt;800,AU143&lt;=1000),AT143*'BU FACILITIES'!$G$11, IF(AND(AU143&gt;1000,AU143&lt;=1400),AT143*'BU FACILITIES'!$G$12, IF(AND(AU143&gt;1400,AU143&lt;=2000),AT143*'BU FACILITIES'!$G$13,""))))))</f>
        <v/>
      </c>
      <c r="AW143" s="187"/>
      <c r="AX143" s="187"/>
      <c r="AY143" s="122" t="str">
        <f>IF(AX143=30,AW143*'BU FACILITIES'!$G$14, IF(AX143=45, AW143*'BU FACILITIES'!$G$15, IF(AX143=450, AW143*'BU FACILITIES'!$G$16, "")))</f>
        <v/>
      </c>
      <c r="AZ143" s="187"/>
      <c r="BA143" s="187"/>
      <c r="BB143" s="187" t="str">
        <f>IF(AND(BA143&gt;=1,BA143&lt;=5),'BU FACILITIES'!$G$17, IF(AND(BA143&gt;5, BA143&lt;=10), 'BU FACILITIES'!$G$18, IF(AND(BA143&gt;10,BA143&lt;=20),'BU FACILITIES'!$G$19,"")))</f>
        <v/>
      </c>
      <c r="BC143" s="187"/>
      <c r="BD143" s="195" t="str">
        <f>IF(AND(AZ143="Modificar ductería de AA",BC143=1), 'BU FACILITIES'!$G$20, "")</f>
        <v/>
      </c>
    </row>
    <row r="144" spans="1:57" s="3" customFormat="1" ht="12.75" hidden="1" x14ac:dyDescent="0.2">
      <c r="A144" s="24" t="s">
        <v>241</v>
      </c>
      <c r="B144" s="23" t="s">
        <v>242</v>
      </c>
      <c r="C144" s="23" t="s">
        <v>243</v>
      </c>
      <c r="D144" s="38" t="s">
        <v>352</v>
      </c>
      <c r="E144" s="23" t="s">
        <v>245</v>
      </c>
      <c r="F144" s="23">
        <v>2023</v>
      </c>
      <c r="G144" s="23" t="s">
        <v>132</v>
      </c>
      <c r="H144" s="23" t="s">
        <v>132</v>
      </c>
      <c r="I144" s="23" t="s">
        <v>457</v>
      </c>
      <c r="J144" s="23" t="s">
        <v>246</v>
      </c>
      <c r="K144" s="23">
        <v>0</v>
      </c>
      <c r="L144" s="23">
        <v>0</v>
      </c>
      <c r="M144" s="23">
        <v>400</v>
      </c>
      <c r="N144" s="135">
        <v>600</v>
      </c>
      <c r="O144" s="23" t="s">
        <v>31</v>
      </c>
      <c r="P144" s="23">
        <f t="shared" si="6"/>
        <v>4650</v>
      </c>
      <c r="Q144" s="217">
        <f t="shared" si="7"/>
        <v>0.12903225806451613</v>
      </c>
      <c r="R144" s="126" t="e">
        <f>VLOOKUP(G144,#REF!,11,0)*Q144</f>
        <v>#REF!</v>
      </c>
      <c r="S144" s="23" t="s">
        <v>247</v>
      </c>
      <c r="T144" s="23" t="s">
        <v>248</v>
      </c>
      <c r="U144" s="23" t="s">
        <v>31</v>
      </c>
      <c r="V144" s="23" t="s">
        <v>31</v>
      </c>
      <c r="W144" s="23" t="s">
        <v>31</v>
      </c>
      <c r="X144" s="23" t="s">
        <v>31</v>
      </c>
      <c r="Y144" s="23" t="s">
        <v>31</v>
      </c>
      <c r="Z144" s="23" t="s">
        <v>31</v>
      </c>
      <c r="AA144" s="23" t="s">
        <v>31</v>
      </c>
      <c r="AB144" s="23" t="s">
        <v>269</v>
      </c>
      <c r="AC144" s="187"/>
      <c r="AD144" s="187">
        <v>4</v>
      </c>
      <c r="AE144" s="187" t="s">
        <v>402</v>
      </c>
      <c r="AF144" s="187"/>
      <c r="AG144" s="187"/>
      <c r="AH144" s="123" t="str">
        <f>IF(AG144=1,'BU FACILITIES'!$G$24,"")</f>
        <v/>
      </c>
      <c r="AI144" s="187"/>
      <c r="AJ144" s="196"/>
      <c r="AK144" s="120">
        <f>AJ144*'BU FACILITIES'!$G$21</f>
        <v>0</v>
      </c>
      <c r="AL144" s="196">
        <v>0</v>
      </c>
      <c r="AM144" s="121">
        <f>PRODUCT( AL144,'BU FACILITIES'!$G$22)</f>
        <v>0</v>
      </c>
      <c r="AN144" s="187"/>
      <c r="AO144" s="187"/>
      <c r="AP144" s="125" t="str">
        <f>IF(AO144=1,'BU FACILITIES'!$G$23,"")</f>
        <v/>
      </c>
      <c r="AQ144" s="187"/>
      <c r="AR144" s="187"/>
      <c r="AS144" s="122" t="str">
        <f>IF(AR144=300,AQ144*'BU FACILITIES'!$G$4, IF(AND(AR144&gt;300,AR144&lt;=500), AQ144*'BU FACILITIES'!$G$5, IF(AND(AR144&gt;500,AR144&lt;=1250), AQ144*'BU FACILITIES'!$G$6, IF(AND(AR144&gt;1250,AR144&lt;=2000),AQ144*'BU FACILITIES'!$G$7, ""))))</f>
        <v/>
      </c>
      <c r="AT144" s="187"/>
      <c r="AU144" s="187"/>
      <c r="AV144" s="122" t="str">
        <f>IF(AU144=100,AT144*'BU FACILITIES'!$G$8, IF(AND(AU144&gt;100,AU144&lt;=500), AT144*'BU FACILITIES'!$G$9, IF(AND(AU144&gt;500,AU144&lt;=800), AT144*'BU FACILITIES'!$G$10, IF(AND(AU144&gt;800,AU144&lt;=1000),AT144*'BU FACILITIES'!$G$11, IF(AND(AU144&gt;1000,AU144&lt;=1400),AT144*'BU FACILITIES'!$G$12, IF(AND(AU144&gt;1400,AU144&lt;=2000),AT144*'BU FACILITIES'!$G$13,""))))))</f>
        <v/>
      </c>
      <c r="AW144" s="187"/>
      <c r="AX144" s="187"/>
      <c r="AY144" s="122" t="str">
        <f>IF(AX144=30,AW144*'BU FACILITIES'!$G$14, IF(AX144=45, AW144*'BU FACILITIES'!$G$15, IF(AX144=450, AW144*'BU FACILITIES'!$G$16, "")))</f>
        <v/>
      </c>
      <c r="AZ144" s="187"/>
      <c r="BA144" s="187"/>
      <c r="BB144" s="187" t="str">
        <f>IF(AND(BA144&gt;=1,BA144&lt;=5),'BU FACILITIES'!$G$17, IF(AND(BA144&gt;5, BA144&lt;=10), 'BU FACILITIES'!$G$18, IF(AND(BA144&gt;10,BA144&lt;=20),'BU FACILITIES'!$G$19,"")))</f>
        <v/>
      </c>
      <c r="BC144" s="187"/>
      <c r="BD144" s="195" t="str">
        <f>IF(AND(AZ144="Modificar ductería de AA",BC144=1), 'BU FACILITIES'!$G$20, "")</f>
        <v/>
      </c>
    </row>
    <row r="145" spans="1:56" s="3" customFormat="1" ht="12.75" hidden="1" x14ac:dyDescent="0.2">
      <c r="A145" s="24" t="s">
        <v>241</v>
      </c>
      <c r="B145" s="23" t="s">
        <v>242</v>
      </c>
      <c r="C145" s="23" t="s">
        <v>243</v>
      </c>
      <c r="D145" s="38" t="s">
        <v>352</v>
      </c>
      <c r="E145" s="23" t="s">
        <v>245</v>
      </c>
      <c r="F145" s="23">
        <v>2023</v>
      </c>
      <c r="G145" s="23" t="s">
        <v>550</v>
      </c>
      <c r="H145" s="23" t="s">
        <v>150</v>
      </c>
      <c r="I145" s="23" t="s">
        <v>31</v>
      </c>
      <c r="J145" s="23" t="s">
        <v>185</v>
      </c>
      <c r="K145" s="23">
        <v>0</v>
      </c>
      <c r="L145" s="23">
        <v>0</v>
      </c>
      <c r="M145" s="23">
        <v>400</v>
      </c>
      <c r="N145" s="135">
        <v>600</v>
      </c>
      <c r="O145" s="23" t="s">
        <v>31</v>
      </c>
      <c r="P145" s="23">
        <f t="shared" si="6"/>
        <v>5950</v>
      </c>
      <c r="Q145" s="217">
        <f t="shared" si="7"/>
        <v>0.10084033613445378</v>
      </c>
      <c r="R145" s="126" t="e">
        <f>VLOOKUP(G145,#REF!,11,0)*Q145</f>
        <v>#REF!</v>
      </c>
      <c r="S145" s="23" t="s">
        <v>247</v>
      </c>
      <c r="T145" s="23" t="s">
        <v>248</v>
      </c>
      <c r="U145" s="23" t="s">
        <v>31</v>
      </c>
      <c r="V145" s="23" t="s">
        <v>31</v>
      </c>
      <c r="W145" s="23" t="s">
        <v>31</v>
      </c>
      <c r="X145" s="23" t="s">
        <v>31</v>
      </c>
      <c r="Y145" s="23" t="s">
        <v>31</v>
      </c>
      <c r="Z145" s="23" t="s">
        <v>31</v>
      </c>
      <c r="AA145" s="23" t="s">
        <v>31</v>
      </c>
      <c r="AB145" s="23" t="s">
        <v>269</v>
      </c>
      <c r="AC145" s="187"/>
      <c r="AD145" s="187">
        <v>3</v>
      </c>
      <c r="AE145" s="187" t="s">
        <v>407</v>
      </c>
      <c r="AF145" s="187"/>
      <c r="AG145" s="187"/>
      <c r="AH145" s="123" t="str">
        <f>IF(AG145=1,'BU FACILITIES'!$G$24,"")</f>
        <v/>
      </c>
      <c r="AI145" s="187"/>
      <c r="AJ145" s="196"/>
      <c r="AK145" s="120">
        <f>AJ145*'BU FACILITIES'!$G$21</f>
        <v>0</v>
      </c>
      <c r="AL145" s="196">
        <v>0</v>
      </c>
      <c r="AM145" s="121">
        <f>PRODUCT( AL145,'BU FACILITIES'!$G$22)</f>
        <v>0</v>
      </c>
      <c r="AN145" s="187"/>
      <c r="AO145" s="187"/>
      <c r="AP145" s="125" t="str">
        <f>IF(AO145=1,'BU FACILITIES'!$G$23,"")</f>
        <v/>
      </c>
      <c r="AQ145" s="187"/>
      <c r="AR145" s="187"/>
      <c r="AS145" s="122" t="str">
        <f>IF(AR145=300,AQ145*'BU FACILITIES'!$G$4, IF(AND(AR145&gt;300,AR145&lt;=500), AQ145*'BU FACILITIES'!$G$5, IF(AND(AR145&gt;500,AR145&lt;=1250), AQ145*'BU FACILITIES'!$G$6, IF(AND(AR145&gt;1250,AR145&lt;=2000),AQ145*'BU FACILITIES'!$G$7, ""))))</f>
        <v/>
      </c>
      <c r="AT145" s="187"/>
      <c r="AU145" s="187"/>
      <c r="AV145" s="122" t="str">
        <f>IF(AU145=100,AT145*'BU FACILITIES'!$G$8, IF(AND(AU145&gt;100,AU145&lt;=500), AT145*'BU FACILITIES'!$G$9, IF(AND(AU145&gt;500,AU145&lt;=800), AT145*'BU FACILITIES'!$G$10, IF(AND(AU145&gt;800,AU145&lt;=1000),AT145*'BU FACILITIES'!$G$11, IF(AND(AU145&gt;1000,AU145&lt;=1400),AT145*'BU FACILITIES'!$G$12, IF(AND(AU145&gt;1400,AU145&lt;=2000),AT145*'BU FACILITIES'!$G$13,""))))))</f>
        <v/>
      </c>
      <c r="AW145" s="187"/>
      <c r="AX145" s="187"/>
      <c r="AY145" s="122" t="str">
        <f>IF(AX145=30,AW145*'BU FACILITIES'!$G$14, IF(AX145=45, AW145*'BU FACILITIES'!$G$15, IF(AX145=450, AW145*'BU FACILITIES'!$G$16, "")))</f>
        <v/>
      </c>
      <c r="AZ145" s="187"/>
      <c r="BA145" s="187"/>
      <c r="BB145" s="187" t="str">
        <f>IF(AND(BA145&gt;=1,BA145&lt;=5),'BU FACILITIES'!$G$17, IF(AND(BA145&gt;5, BA145&lt;=10), 'BU FACILITIES'!$G$18, IF(AND(BA145&gt;10,BA145&lt;=20),'BU FACILITIES'!$G$19,"")))</f>
        <v/>
      </c>
      <c r="BC145" s="187"/>
      <c r="BD145" s="195" t="str">
        <f>IF(AND(AZ145="Modificar ductería de AA",BC145=1), 'BU FACILITIES'!$G$20, "")</f>
        <v/>
      </c>
    </row>
    <row r="146" spans="1:56" s="3" customFormat="1" ht="12.75" hidden="1" x14ac:dyDescent="0.2">
      <c r="A146" s="24" t="s">
        <v>241</v>
      </c>
      <c r="B146" s="23" t="s">
        <v>242</v>
      </c>
      <c r="C146" s="23" t="s">
        <v>243</v>
      </c>
      <c r="D146" s="38" t="s">
        <v>352</v>
      </c>
      <c r="E146" s="23" t="s">
        <v>245</v>
      </c>
      <c r="F146" s="23">
        <v>2023</v>
      </c>
      <c r="G146" s="23" t="s">
        <v>282</v>
      </c>
      <c r="H146" s="23" t="s">
        <v>57</v>
      </c>
      <c r="I146" s="23" t="s">
        <v>31</v>
      </c>
      <c r="J146" s="23" t="s">
        <v>275</v>
      </c>
      <c r="K146" s="23">
        <v>2</v>
      </c>
      <c r="L146" s="23">
        <v>2</v>
      </c>
      <c r="M146" s="29">
        <v>3800</v>
      </c>
      <c r="N146" s="134">
        <v>4100</v>
      </c>
      <c r="O146" s="23" t="s">
        <v>31</v>
      </c>
      <c r="P146" s="23">
        <f t="shared" si="6"/>
        <v>6100</v>
      </c>
      <c r="Q146" s="217">
        <f t="shared" si="7"/>
        <v>0.67213114754098358</v>
      </c>
      <c r="R146" s="126" t="e">
        <f>VLOOKUP(G146,#REF!,11,0)*Q146</f>
        <v>#REF!</v>
      </c>
      <c r="S146" s="23" t="s">
        <v>247</v>
      </c>
      <c r="T146" s="23" t="s">
        <v>276</v>
      </c>
      <c r="U146" s="23" t="s">
        <v>31</v>
      </c>
      <c r="V146" s="23" t="s">
        <v>31</v>
      </c>
      <c r="W146" s="23" t="s">
        <v>31</v>
      </c>
      <c r="X146" s="23" t="s">
        <v>31</v>
      </c>
      <c r="Y146" s="23" t="s">
        <v>31</v>
      </c>
      <c r="Z146" s="23" t="s">
        <v>31</v>
      </c>
      <c r="AA146" s="23" t="s">
        <v>31</v>
      </c>
      <c r="AB146" s="23" t="s">
        <v>277</v>
      </c>
      <c r="AC146" s="187" t="s">
        <v>490</v>
      </c>
      <c r="AD146" s="187" t="s">
        <v>448</v>
      </c>
      <c r="AE146" s="187" t="s">
        <v>402</v>
      </c>
      <c r="AF146" s="187"/>
      <c r="AG146" s="187"/>
      <c r="AH146" s="123" t="str">
        <f>IF(AG146=1,'BU FACILITIES'!$G$24,"")</f>
        <v/>
      </c>
      <c r="AI146" s="187"/>
      <c r="AJ146" s="196"/>
      <c r="AK146" s="120">
        <f>AJ146*'BU FACILITIES'!$G$21</f>
        <v>0</v>
      </c>
      <c r="AL146" s="196">
        <v>1</v>
      </c>
      <c r="AM146" s="121">
        <f>PRODUCT( AL146,'BU FACILITIES'!$G$22)</f>
        <v>870.73170731707319</v>
      </c>
      <c r="AN146" s="187" t="s">
        <v>552</v>
      </c>
      <c r="AO146" s="187">
        <v>1</v>
      </c>
      <c r="AP146" s="125">
        <f>20000000/4100</f>
        <v>4878.0487804878048</v>
      </c>
      <c r="AQ146" s="187"/>
      <c r="AR146" s="187"/>
      <c r="AS146" s="122" t="str">
        <f>IF(AR146=300,AQ146*'BU FACILITIES'!$G$4, IF(AND(AR146&gt;300,AR146&lt;=500), AQ146*'BU FACILITIES'!$G$5, IF(AND(AR146&gt;500,AR146&lt;=1250), AQ146*'BU FACILITIES'!$G$6, IF(AND(AR146&gt;1250,AR146&lt;=2000),AQ146*'BU FACILITIES'!$G$7, ""))))</f>
        <v/>
      </c>
      <c r="AT146" s="187">
        <v>1</v>
      </c>
      <c r="AU146" s="187">
        <v>200</v>
      </c>
      <c r="AV146" s="122">
        <f>IF(AU146=100,AT146*'BU FACILITIES'!$G$8, IF(AND(AU146&gt;100,AU146&lt;=500), AT146*'BU FACILITIES'!$G$9, IF(AND(AU146&gt;500,AU146&lt;=800), AT146*'BU FACILITIES'!$G$10, IF(AND(AU146&gt;800,AU146&lt;=1000),AT146*'BU FACILITIES'!$G$11, IF(AND(AU146&gt;1000,AU146&lt;=1400),AT146*'BU FACILITIES'!$G$12, IF(AND(AU146&gt;1400,AU146&lt;=2000),AT146*'BU FACILITIES'!$G$13,""))))))</f>
        <v>9151.2950594121339</v>
      </c>
      <c r="AW146" s="187"/>
      <c r="AX146" s="187"/>
      <c r="AY146" s="122" t="str">
        <f>IF(AX146=30,AW146*'BU FACILITIES'!$G$14, IF(AX146=45, AW146*'BU FACILITIES'!$G$15, IF(AX146=450, AW146*'BU FACILITIES'!$G$16, "")))</f>
        <v/>
      </c>
      <c r="AZ146" s="187">
        <v>1</v>
      </c>
      <c r="BA146" s="187">
        <v>3</v>
      </c>
      <c r="BB146" s="187">
        <f>IF(AND(BA146&gt;=1,BA146&lt;=5),'BU FACILITIES'!$G$17, IF(AND(BA146&gt;5, BA146&lt;=10), 'BU FACILITIES'!$G$18, IF(AND(BA146&gt;10,BA146&lt;=20),'BU FACILITIES'!$G$19,"")))</f>
        <v>13526.829268292684</v>
      </c>
      <c r="BC146" s="187"/>
      <c r="BD146" s="195" t="str">
        <f>IF(AND(AZ146="Modificar ductería de AA",BC146=1), 'BU FACILITIES'!$G$20, "")</f>
        <v/>
      </c>
    </row>
    <row r="147" spans="1:56" s="3" customFormat="1" ht="12.75" hidden="1" x14ac:dyDescent="0.2">
      <c r="A147" s="26" t="s">
        <v>241</v>
      </c>
      <c r="B147" s="28" t="s">
        <v>242</v>
      </c>
      <c r="C147" s="28" t="s">
        <v>278</v>
      </c>
      <c r="D147" s="38" t="s">
        <v>352</v>
      </c>
      <c r="E147" s="28" t="s">
        <v>245</v>
      </c>
      <c r="F147" s="28">
        <v>2023</v>
      </c>
      <c r="G147" s="23" t="s">
        <v>282</v>
      </c>
      <c r="H147" s="28" t="s">
        <v>57</v>
      </c>
      <c r="I147" s="28" t="s">
        <v>31</v>
      </c>
      <c r="J147" s="28" t="s">
        <v>246</v>
      </c>
      <c r="K147" s="28" t="s">
        <v>31</v>
      </c>
      <c r="L147" s="28">
        <v>2</v>
      </c>
      <c r="M147" s="64">
        <v>1500</v>
      </c>
      <c r="N147" s="143">
        <v>2000</v>
      </c>
      <c r="O147" s="28" t="s">
        <v>31</v>
      </c>
      <c r="P147" s="23">
        <f t="shared" si="6"/>
        <v>6100</v>
      </c>
      <c r="Q147" s="217">
        <f t="shared" si="7"/>
        <v>0.32786885245901637</v>
      </c>
      <c r="R147" s="126" t="e">
        <f>VLOOKUP(G147,#REF!,11,0)*Q147</f>
        <v>#REF!</v>
      </c>
      <c r="S147" s="28" t="s">
        <v>247</v>
      </c>
      <c r="T147" s="28" t="s">
        <v>279</v>
      </c>
      <c r="U147" s="28" t="s">
        <v>31</v>
      </c>
      <c r="V147" s="28" t="s">
        <v>31</v>
      </c>
      <c r="W147" s="28" t="s">
        <v>31</v>
      </c>
      <c r="X147" s="28" t="s">
        <v>31</v>
      </c>
      <c r="Y147" s="28" t="s">
        <v>31</v>
      </c>
      <c r="Z147" s="28" t="s">
        <v>31</v>
      </c>
      <c r="AA147" s="28" t="s">
        <v>31</v>
      </c>
      <c r="AB147" s="28" t="s">
        <v>280</v>
      </c>
      <c r="AC147" s="187" t="s">
        <v>487</v>
      </c>
      <c r="AD147" s="187" t="s">
        <v>448</v>
      </c>
      <c r="AE147" s="187" t="s">
        <v>402</v>
      </c>
      <c r="AF147" s="187"/>
      <c r="AG147" s="187"/>
      <c r="AH147" s="123" t="str">
        <f>IF(AG147=1,'BU FACILITIES'!$G$24,"")</f>
        <v/>
      </c>
      <c r="AI147" s="187"/>
      <c r="AJ147" s="196"/>
      <c r="AK147" s="120">
        <f>AJ147*'BU FACILITIES'!$G$21</f>
        <v>0</v>
      </c>
      <c r="AL147" s="187"/>
      <c r="AM147" s="121">
        <f>PRODUCT( AL147,'BU FACILITIES'!$G$22)</f>
        <v>870.73170731707319</v>
      </c>
      <c r="AN147" s="187"/>
      <c r="AO147" s="187"/>
      <c r="AP147" s="125" t="str">
        <f>IF(AO147=1,'BU FACILITIES'!$G$23,"")</f>
        <v/>
      </c>
      <c r="AQ147" s="187"/>
      <c r="AR147" s="187"/>
      <c r="AS147" s="122" t="str">
        <f>IF(AR147=300,AQ147*'BU FACILITIES'!$G$4, IF(AND(AR147&gt;300,AR147&lt;=500), AQ147*'BU FACILITIES'!$G$5, IF(AND(AR147&gt;500,AR147&lt;=1250), AQ147*'BU FACILITIES'!$G$6, IF(AND(AR147&gt;1250,AR147&lt;=2000),AQ147*'BU FACILITIES'!$G$7, ""))))</f>
        <v/>
      </c>
      <c r="AT147" s="187"/>
      <c r="AU147" s="187"/>
      <c r="AV147" s="122" t="str">
        <f>IF(AU147=100,AT147*'BU FACILITIES'!$G$8, IF(AND(AU147&gt;100,AU147&lt;=500), AT147*'BU FACILITIES'!$G$9, IF(AND(AU147&gt;500,AU147&lt;=800), AT147*'BU FACILITIES'!$G$10, IF(AND(AU147&gt;800,AU147&lt;=1000),AT147*'BU FACILITIES'!$G$11, IF(AND(AU147&gt;1000,AU147&lt;=1400),AT147*'BU FACILITIES'!$G$12, IF(AND(AU147&gt;1400,AU147&lt;=2000),AT147*'BU FACILITIES'!$G$13,""))))))</f>
        <v/>
      </c>
      <c r="AW147" s="187"/>
      <c r="AX147" s="187"/>
      <c r="AY147" s="122" t="str">
        <f>IF(AX147=30,AW147*'BU FACILITIES'!$G$14, IF(AX147=45, AW147*'BU FACILITIES'!$G$15, IF(AX147=450, AW147*'BU FACILITIES'!$G$16, "")))</f>
        <v/>
      </c>
      <c r="AZ147" s="187"/>
      <c r="BA147" s="187"/>
      <c r="BB147" s="187" t="str">
        <f>IF(AND(BA147&gt;=1,BA147&lt;=5),'BU FACILITIES'!$G$17, IF(AND(BA147&gt;5, BA147&lt;=10), 'BU FACILITIES'!$G$18, IF(AND(BA147&gt;10,BA147&lt;=20),'BU FACILITIES'!$G$19,"")))</f>
        <v/>
      </c>
      <c r="BC147" s="187"/>
      <c r="BD147" s="195" t="str">
        <f>IF(AND(AZ147="Modificar ductería de AA",BC147=1), 'BU FACILITIES'!$G$20, "")</f>
        <v/>
      </c>
    </row>
    <row r="148" spans="1:56" s="3" customFormat="1" ht="12.75" hidden="1" x14ac:dyDescent="0.2">
      <c r="A148" s="24" t="s">
        <v>241</v>
      </c>
      <c r="B148" s="23" t="s">
        <v>242</v>
      </c>
      <c r="C148" s="23" t="s">
        <v>243</v>
      </c>
      <c r="D148" s="38" t="s">
        <v>352</v>
      </c>
      <c r="E148" s="23" t="s">
        <v>245</v>
      </c>
      <c r="F148" s="23">
        <v>2023</v>
      </c>
      <c r="G148" s="23" t="s">
        <v>285</v>
      </c>
      <c r="H148" s="23" t="s">
        <v>57</v>
      </c>
      <c r="I148" s="27" t="s">
        <v>31</v>
      </c>
      <c r="J148" s="23" t="s">
        <v>246</v>
      </c>
      <c r="K148" s="23">
        <v>0</v>
      </c>
      <c r="L148" s="23">
        <v>0</v>
      </c>
      <c r="M148" s="23">
        <v>400</v>
      </c>
      <c r="N148" s="135">
        <v>600</v>
      </c>
      <c r="O148" s="23" t="s">
        <v>31</v>
      </c>
      <c r="P148" s="23">
        <f t="shared" si="6"/>
        <v>600</v>
      </c>
      <c r="Q148" s="217">
        <f t="shared" si="7"/>
        <v>1</v>
      </c>
      <c r="R148" s="126" t="e">
        <f>VLOOKUP(G148,#REF!,11,0)*Q148</f>
        <v>#REF!</v>
      </c>
      <c r="S148" s="23" t="s">
        <v>247</v>
      </c>
      <c r="T148" s="23" t="s">
        <v>248</v>
      </c>
      <c r="U148" s="23" t="s">
        <v>31</v>
      </c>
      <c r="V148" s="23" t="s">
        <v>31</v>
      </c>
      <c r="W148" s="23" t="s">
        <v>31</v>
      </c>
      <c r="X148" s="23" t="s">
        <v>31</v>
      </c>
      <c r="Y148" s="23" t="s">
        <v>31</v>
      </c>
      <c r="Z148" s="23" t="s">
        <v>31</v>
      </c>
      <c r="AA148" s="23" t="s">
        <v>31</v>
      </c>
      <c r="AB148" s="23" t="s">
        <v>269</v>
      </c>
      <c r="AC148" s="187" t="s">
        <v>553</v>
      </c>
      <c r="AD148" s="187" t="s">
        <v>554</v>
      </c>
      <c r="AE148" s="187" t="s">
        <v>402</v>
      </c>
      <c r="AF148" s="187"/>
      <c r="AG148" s="187"/>
      <c r="AH148" s="123" t="str">
        <f>IF(AG148=1,'BU FACILITIES'!$G$24,"")</f>
        <v/>
      </c>
      <c r="AI148" s="187"/>
      <c r="AJ148" s="196"/>
      <c r="AK148" s="120">
        <f>AJ148*'BU FACILITIES'!$G$21</f>
        <v>0</v>
      </c>
      <c r="AL148" s="196">
        <v>0</v>
      </c>
      <c r="AM148" s="121">
        <f>PRODUCT( AL148,'BU FACILITIES'!$G$22)</f>
        <v>0</v>
      </c>
      <c r="AN148" s="187"/>
      <c r="AO148" s="187"/>
      <c r="AP148" s="125" t="str">
        <f>IF(AO148=1,'BU FACILITIES'!$G$23,"")</f>
        <v/>
      </c>
      <c r="AQ148" s="187"/>
      <c r="AR148" s="187"/>
      <c r="AS148" s="122" t="str">
        <f>IF(AR148=300,AQ148*'BU FACILITIES'!$G$4, IF(AND(AR148&gt;300,AR148&lt;=500), AQ148*'BU FACILITIES'!$G$5, IF(AND(AR148&gt;500,AR148&lt;=1250), AQ148*'BU FACILITIES'!$G$6, IF(AND(AR148&gt;1250,AR148&lt;=2000),AQ148*'BU FACILITIES'!$G$7, ""))))</f>
        <v/>
      </c>
      <c r="AT148" s="187"/>
      <c r="AU148" s="187"/>
      <c r="AV148" s="122" t="str">
        <f>IF(AU148=100,AT148*'BU FACILITIES'!$G$8, IF(AND(AU148&gt;100,AU148&lt;=500), AT148*'BU FACILITIES'!$G$9, IF(AND(AU148&gt;500,AU148&lt;=800), AT148*'BU FACILITIES'!$G$10, IF(AND(AU148&gt;800,AU148&lt;=1000),AT148*'BU FACILITIES'!$G$11, IF(AND(AU148&gt;1000,AU148&lt;=1400),AT148*'BU FACILITIES'!$G$12, IF(AND(AU148&gt;1400,AU148&lt;=2000),AT148*'BU FACILITIES'!$G$13,""))))))</f>
        <v/>
      </c>
      <c r="AW148" s="187"/>
      <c r="AX148" s="187"/>
      <c r="AY148" s="122" t="str">
        <f>IF(AX148=30,AW148*'BU FACILITIES'!$G$14, IF(AX148=45, AW148*'BU FACILITIES'!$G$15, IF(AX148=450, AW148*'BU FACILITIES'!$G$16, "")))</f>
        <v/>
      </c>
      <c r="AZ148" s="187"/>
      <c r="BA148" s="187"/>
      <c r="BB148" s="187" t="str">
        <f>IF(AND(BA148&gt;=1,BA148&lt;=5),'BU FACILITIES'!$G$17, IF(AND(BA148&gt;5, BA148&lt;=10), 'BU FACILITIES'!$G$18, IF(AND(BA148&gt;10,BA148&lt;=20),'BU FACILITIES'!$G$19,"")))</f>
        <v/>
      </c>
      <c r="BC148" s="187"/>
      <c r="BD148" s="195" t="str">
        <f>IF(AND(AZ148="Modificar ductería de AA",BC148=1), 'BU FACILITIES'!$G$20, "")</f>
        <v/>
      </c>
    </row>
    <row r="149" spans="1:56" s="3" customFormat="1" ht="12.75" hidden="1" x14ac:dyDescent="0.2">
      <c r="A149" s="24" t="s">
        <v>241</v>
      </c>
      <c r="B149" s="23" t="s">
        <v>242</v>
      </c>
      <c r="C149" s="23" t="s">
        <v>243</v>
      </c>
      <c r="D149" s="38" t="s">
        <v>352</v>
      </c>
      <c r="E149" s="23" t="s">
        <v>245</v>
      </c>
      <c r="F149" s="23">
        <v>2023</v>
      </c>
      <c r="G149" s="23" t="s">
        <v>96</v>
      </c>
      <c r="H149" s="23" t="s">
        <v>57</v>
      </c>
      <c r="I149" s="23" t="s">
        <v>31</v>
      </c>
      <c r="J149" s="23" t="s">
        <v>246</v>
      </c>
      <c r="K149" s="23">
        <v>0</v>
      </c>
      <c r="L149" s="23">
        <v>0</v>
      </c>
      <c r="M149" s="23">
        <v>400</v>
      </c>
      <c r="N149" s="135">
        <v>600</v>
      </c>
      <c r="O149" s="23" t="s">
        <v>31</v>
      </c>
      <c r="P149" s="23">
        <f t="shared" si="6"/>
        <v>600</v>
      </c>
      <c r="Q149" s="217">
        <f t="shared" si="7"/>
        <v>1</v>
      </c>
      <c r="R149" s="126" t="e">
        <f>VLOOKUP(G149,#REF!,11,0)*Q149</f>
        <v>#REF!</v>
      </c>
      <c r="S149" s="23" t="s">
        <v>247</v>
      </c>
      <c r="T149" s="23" t="s">
        <v>248</v>
      </c>
      <c r="U149" s="23" t="s">
        <v>31</v>
      </c>
      <c r="V149" s="23" t="s">
        <v>31</v>
      </c>
      <c r="W149" s="23" t="s">
        <v>31</v>
      </c>
      <c r="X149" s="23" t="s">
        <v>31</v>
      </c>
      <c r="Y149" s="23" t="s">
        <v>31</v>
      </c>
      <c r="Z149" s="23" t="s">
        <v>31</v>
      </c>
      <c r="AA149" s="23" t="s">
        <v>31</v>
      </c>
      <c r="AB149" s="23" t="s">
        <v>269</v>
      </c>
      <c r="AC149" s="187" t="s">
        <v>555</v>
      </c>
      <c r="AD149" s="187" t="s">
        <v>495</v>
      </c>
      <c r="AE149" s="187" t="s">
        <v>402</v>
      </c>
      <c r="AF149" s="187"/>
      <c r="AG149" s="187"/>
      <c r="AH149" s="123" t="str">
        <f>IF(AG149=1,'BU FACILITIES'!$G$24,"")</f>
        <v/>
      </c>
      <c r="AI149" s="187"/>
      <c r="AJ149" s="196"/>
      <c r="AK149" s="120">
        <f>AJ149*'BU FACILITIES'!$G$21</f>
        <v>0</v>
      </c>
      <c r="AL149" s="196">
        <v>0</v>
      </c>
      <c r="AM149" s="121">
        <f>PRODUCT( AL149,'BU FACILITIES'!$G$22)</f>
        <v>0</v>
      </c>
      <c r="AN149" s="187"/>
      <c r="AO149" s="187"/>
      <c r="AP149" s="125" t="str">
        <f>IF(AO149=1,'BU FACILITIES'!$G$23,"")</f>
        <v/>
      </c>
      <c r="AQ149" s="187"/>
      <c r="AR149" s="187"/>
      <c r="AS149" s="122" t="str">
        <f>IF(AR149=300,AQ149*'BU FACILITIES'!$G$4, IF(AND(AR149&gt;300,AR149&lt;=500), AQ149*'BU FACILITIES'!$G$5, IF(AND(AR149&gt;500,AR149&lt;=1250), AQ149*'BU FACILITIES'!$G$6, IF(AND(AR149&gt;1250,AR149&lt;=2000),AQ149*'BU FACILITIES'!$G$7, ""))))</f>
        <v/>
      </c>
      <c r="AT149" s="187"/>
      <c r="AU149" s="187"/>
      <c r="AV149" s="122" t="str">
        <f>IF(AU149=100,AT149*'BU FACILITIES'!$G$8, IF(AND(AU149&gt;100,AU149&lt;=500), AT149*'BU FACILITIES'!$G$9, IF(AND(AU149&gt;500,AU149&lt;=800), AT149*'BU FACILITIES'!$G$10, IF(AND(AU149&gt;800,AU149&lt;=1000),AT149*'BU FACILITIES'!$G$11, IF(AND(AU149&gt;1000,AU149&lt;=1400),AT149*'BU FACILITIES'!$G$12, IF(AND(AU149&gt;1400,AU149&lt;=2000),AT149*'BU FACILITIES'!$G$13,""))))))</f>
        <v/>
      </c>
      <c r="AW149" s="187"/>
      <c r="AX149" s="187"/>
      <c r="AY149" s="122" t="str">
        <f>IF(AX149=30,AW149*'BU FACILITIES'!$G$14, IF(AX149=45, AW149*'BU FACILITIES'!$G$15, IF(AX149=450, AW149*'BU FACILITIES'!$G$16, "")))</f>
        <v/>
      </c>
      <c r="AZ149" s="187"/>
      <c r="BA149" s="187"/>
      <c r="BB149" s="187" t="str">
        <f>IF(AND(BA149&gt;=1,BA149&lt;=5),'BU FACILITIES'!$G$17, IF(AND(BA149&gt;5, BA149&lt;=10), 'BU FACILITIES'!$G$18, IF(AND(BA149&gt;10,BA149&lt;=20),'BU FACILITIES'!$G$19,"")))</f>
        <v/>
      </c>
      <c r="BC149" s="187"/>
      <c r="BD149" s="195" t="str">
        <f>IF(AND(AZ149="Modificar ductería de AA",BC149=1), 'BU FACILITIES'!$G$20, "")</f>
        <v/>
      </c>
    </row>
    <row r="150" spans="1:56" s="3" customFormat="1" ht="12.75" hidden="1" x14ac:dyDescent="0.2">
      <c r="A150" s="24" t="s">
        <v>241</v>
      </c>
      <c r="B150" s="23" t="s">
        <v>242</v>
      </c>
      <c r="C150" s="23" t="s">
        <v>243</v>
      </c>
      <c r="D150" s="38" t="s">
        <v>352</v>
      </c>
      <c r="E150" s="23" t="s">
        <v>245</v>
      </c>
      <c r="F150" s="23">
        <v>2023</v>
      </c>
      <c r="G150" s="23" t="s">
        <v>89</v>
      </c>
      <c r="H150" s="23" t="s">
        <v>57</v>
      </c>
      <c r="I150" s="23" t="s">
        <v>31</v>
      </c>
      <c r="J150" s="23" t="s">
        <v>246</v>
      </c>
      <c r="K150" s="23">
        <v>0</v>
      </c>
      <c r="L150" s="23">
        <v>0</v>
      </c>
      <c r="M150" s="23">
        <v>400</v>
      </c>
      <c r="N150" s="135">
        <v>600</v>
      </c>
      <c r="O150" s="23" t="s">
        <v>31</v>
      </c>
      <c r="P150" s="23">
        <f t="shared" si="6"/>
        <v>1800</v>
      </c>
      <c r="Q150" s="217">
        <f t="shared" si="7"/>
        <v>0.33333333333333331</v>
      </c>
      <c r="R150" s="126" t="e">
        <f>VLOOKUP(G150,#REF!,11,0)*Q150</f>
        <v>#REF!</v>
      </c>
      <c r="S150" s="23" t="s">
        <v>247</v>
      </c>
      <c r="T150" s="23" t="s">
        <v>248</v>
      </c>
      <c r="U150" s="23" t="s">
        <v>31</v>
      </c>
      <c r="V150" s="23" t="s">
        <v>31</v>
      </c>
      <c r="W150" s="23" t="s">
        <v>31</v>
      </c>
      <c r="X150" s="23" t="s">
        <v>31</v>
      </c>
      <c r="Y150" s="23" t="s">
        <v>31</v>
      </c>
      <c r="Z150" s="23" t="s">
        <v>31</v>
      </c>
      <c r="AA150" s="23" t="s">
        <v>31</v>
      </c>
      <c r="AB150" s="23" t="s">
        <v>269</v>
      </c>
      <c r="AC150" s="187" t="s">
        <v>472</v>
      </c>
      <c r="AD150" s="187" t="s">
        <v>473</v>
      </c>
      <c r="AE150" s="187" t="s">
        <v>402</v>
      </c>
      <c r="AF150" s="187"/>
      <c r="AG150" s="187"/>
      <c r="AH150" s="123" t="str">
        <f>IF(AG150=1,'BU FACILITIES'!$G$24,"")</f>
        <v/>
      </c>
      <c r="AI150" s="187"/>
      <c r="AJ150" s="196"/>
      <c r="AK150" s="120">
        <f>AJ150*'BU FACILITIES'!$G$21</f>
        <v>0</v>
      </c>
      <c r="AL150" s="196">
        <v>0</v>
      </c>
      <c r="AM150" s="121">
        <f>PRODUCT( AL150,'BU FACILITIES'!$G$22)</f>
        <v>0</v>
      </c>
      <c r="AN150" s="187"/>
      <c r="AO150" s="187"/>
      <c r="AP150" s="125" t="str">
        <f>IF(AO150=1,'BU FACILITIES'!$G$23,"")</f>
        <v/>
      </c>
      <c r="AQ150" s="187"/>
      <c r="AR150" s="187"/>
      <c r="AS150" s="122" t="str">
        <f>IF(AR150=300,AQ150*'BU FACILITIES'!$G$4, IF(AND(AR150&gt;300,AR150&lt;=500), AQ150*'BU FACILITIES'!$G$5, IF(AND(AR150&gt;500,AR150&lt;=1250), AQ150*'BU FACILITIES'!$G$6, IF(AND(AR150&gt;1250,AR150&lt;=2000),AQ150*'BU FACILITIES'!$G$7, ""))))</f>
        <v/>
      </c>
      <c r="AT150" s="187"/>
      <c r="AU150" s="187"/>
      <c r="AV150" s="122" t="str">
        <f>IF(AU150=100,AT150*'BU FACILITIES'!$G$8, IF(AND(AU150&gt;100,AU150&lt;=500), AT150*'BU FACILITIES'!$G$9, IF(AND(AU150&gt;500,AU150&lt;=800), AT150*'BU FACILITIES'!$G$10, IF(AND(AU150&gt;800,AU150&lt;=1000),AT150*'BU FACILITIES'!$G$11, IF(AND(AU150&gt;1000,AU150&lt;=1400),AT150*'BU FACILITIES'!$G$12, IF(AND(AU150&gt;1400,AU150&lt;=2000),AT150*'BU FACILITIES'!$G$13,""))))))</f>
        <v/>
      </c>
      <c r="AW150" s="187"/>
      <c r="AX150" s="187"/>
      <c r="AY150" s="122" t="str">
        <f>IF(AX150=30,AW150*'BU FACILITIES'!$G$14, IF(AX150=45, AW150*'BU FACILITIES'!$G$15, IF(AX150=450, AW150*'BU FACILITIES'!$G$16, "")))</f>
        <v/>
      </c>
      <c r="AZ150" s="187"/>
      <c r="BA150" s="187"/>
      <c r="BB150" s="187" t="str">
        <f>IF(AND(BA150&gt;=1,BA150&lt;=5),'BU FACILITIES'!$G$17, IF(AND(BA150&gt;5, BA150&lt;=10), 'BU FACILITIES'!$G$18, IF(AND(BA150&gt;10,BA150&lt;=20),'BU FACILITIES'!$G$19,"")))</f>
        <v/>
      </c>
      <c r="BC150" s="187"/>
      <c r="BD150" s="195" t="str">
        <f>IF(AND(AZ150="Modificar ductería de AA",BC150=1), 'BU FACILITIES'!$G$20, "")</f>
        <v/>
      </c>
    </row>
    <row r="151" spans="1:56" s="3" customFormat="1" ht="12.75" hidden="1" x14ac:dyDescent="0.2">
      <c r="A151" s="24" t="s">
        <v>241</v>
      </c>
      <c r="B151" s="23" t="s">
        <v>242</v>
      </c>
      <c r="C151" s="23" t="s">
        <v>243</v>
      </c>
      <c r="D151" s="38" t="s">
        <v>352</v>
      </c>
      <c r="E151" s="23" t="s">
        <v>245</v>
      </c>
      <c r="F151" s="23">
        <v>2023</v>
      </c>
      <c r="G151" s="23" t="s">
        <v>101</v>
      </c>
      <c r="H151" s="23" t="s">
        <v>57</v>
      </c>
      <c r="I151" s="23" t="s">
        <v>31</v>
      </c>
      <c r="J151" s="23" t="s">
        <v>246</v>
      </c>
      <c r="K151" s="23">
        <v>0</v>
      </c>
      <c r="L151" s="23">
        <v>0</v>
      </c>
      <c r="M151" s="23">
        <v>400</v>
      </c>
      <c r="N151" s="135">
        <v>600</v>
      </c>
      <c r="O151" s="23" t="s">
        <v>31</v>
      </c>
      <c r="P151" s="23">
        <f t="shared" si="6"/>
        <v>600</v>
      </c>
      <c r="Q151" s="217">
        <f t="shared" si="7"/>
        <v>1</v>
      </c>
      <c r="R151" s="126" t="e">
        <f>VLOOKUP(G151,#REF!,11,0)*Q151</f>
        <v>#REF!</v>
      </c>
      <c r="S151" s="23" t="s">
        <v>247</v>
      </c>
      <c r="T151" s="23" t="s">
        <v>248</v>
      </c>
      <c r="U151" s="23" t="s">
        <v>31</v>
      </c>
      <c r="V151" s="23" t="s">
        <v>31</v>
      </c>
      <c r="W151" s="23" t="s">
        <v>31</v>
      </c>
      <c r="X151" s="23" t="s">
        <v>31</v>
      </c>
      <c r="Y151" s="23" t="s">
        <v>31</v>
      </c>
      <c r="Z151" s="23" t="s">
        <v>31</v>
      </c>
      <c r="AA151" s="23" t="s">
        <v>31</v>
      </c>
      <c r="AB151" s="23" t="s">
        <v>269</v>
      </c>
      <c r="AC151" s="187" t="s">
        <v>556</v>
      </c>
      <c r="AD151" s="187" t="s">
        <v>473</v>
      </c>
      <c r="AE151" s="187" t="s">
        <v>402</v>
      </c>
      <c r="AF151" s="187"/>
      <c r="AG151" s="187"/>
      <c r="AH151" s="123" t="str">
        <f>IF(AG151=1,'BU FACILITIES'!$G$24,"")</f>
        <v/>
      </c>
      <c r="AI151" s="187"/>
      <c r="AJ151" s="196"/>
      <c r="AK151" s="120">
        <f>AJ151*'BU FACILITIES'!$G$21</f>
        <v>0</v>
      </c>
      <c r="AL151" s="196">
        <v>0</v>
      </c>
      <c r="AM151" s="121">
        <f>PRODUCT( AL151,'BU FACILITIES'!$G$22)</f>
        <v>0</v>
      </c>
      <c r="AN151" s="187"/>
      <c r="AO151" s="187"/>
      <c r="AP151" s="125" t="str">
        <f>IF(AO151=1,'BU FACILITIES'!$G$23,"")</f>
        <v/>
      </c>
      <c r="AQ151" s="187"/>
      <c r="AR151" s="187"/>
      <c r="AS151" s="122" t="str">
        <f>IF(AR151=300,AQ151*'BU FACILITIES'!$G$4, IF(AND(AR151&gt;300,AR151&lt;=500), AQ151*'BU FACILITIES'!$G$5, IF(AND(AR151&gt;500,AR151&lt;=1250), AQ151*'BU FACILITIES'!$G$6, IF(AND(AR151&gt;1250,AR151&lt;=2000),AQ151*'BU FACILITIES'!$G$7, ""))))</f>
        <v/>
      </c>
      <c r="AT151" s="187"/>
      <c r="AU151" s="187"/>
      <c r="AV151" s="122" t="str">
        <f>IF(AU151=100,AT151*'BU FACILITIES'!$G$8, IF(AND(AU151&gt;100,AU151&lt;=500), AT151*'BU FACILITIES'!$G$9, IF(AND(AU151&gt;500,AU151&lt;=800), AT151*'BU FACILITIES'!$G$10, IF(AND(AU151&gt;800,AU151&lt;=1000),AT151*'BU FACILITIES'!$G$11, IF(AND(AU151&gt;1000,AU151&lt;=1400),AT151*'BU FACILITIES'!$G$12, IF(AND(AU151&gt;1400,AU151&lt;=2000),AT151*'BU FACILITIES'!$G$13,""))))))</f>
        <v/>
      </c>
      <c r="AW151" s="187"/>
      <c r="AX151" s="187"/>
      <c r="AY151" s="122" t="str">
        <f>IF(AX151=30,AW151*'BU FACILITIES'!$G$14, IF(AX151=45, AW151*'BU FACILITIES'!$G$15, IF(AX151=450, AW151*'BU FACILITIES'!$G$16, "")))</f>
        <v/>
      </c>
      <c r="AZ151" s="187"/>
      <c r="BA151" s="187"/>
      <c r="BB151" s="187" t="str">
        <f>IF(AND(BA151&gt;=1,BA151&lt;=5),'BU FACILITIES'!$G$17, IF(AND(BA151&gt;5, BA151&lt;=10), 'BU FACILITIES'!$G$18, IF(AND(BA151&gt;10,BA151&lt;=20),'BU FACILITIES'!$G$19,"")))</f>
        <v/>
      </c>
      <c r="BC151" s="187"/>
      <c r="BD151" s="195" t="str">
        <f>IF(AND(AZ151="Modificar ductería de AA",BC151=1), 'BU FACILITIES'!$G$20, "")</f>
        <v/>
      </c>
    </row>
    <row r="152" spans="1:56" s="3" customFormat="1" ht="12.75" hidden="1" x14ac:dyDescent="0.2">
      <c r="A152" s="24" t="s">
        <v>241</v>
      </c>
      <c r="B152" s="23" t="s">
        <v>242</v>
      </c>
      <c r="C152" s="23" t="s">
        <v>243</v>
      </c>
      <c r="D152" s="38" t="s">
        <v>352</v>
      </c>
      <c r="E152" s="23" t="s">
        <v>245</v>
      </c>
      <c r="F152" s="23">
        <v>2023</v>
      </c>
      <c r="G152" s="23" t="s">
        <v>557</v>
      </c>
      <c r="H152" s="23" t="s">
        <v>57</v>
      </c>
      <c r="I152" s="23" t="s">
        <v>31</v>
      </c>
      <c r="J152" s="23" t="s">
        <v>246</v>
      </c>
      <c r="K152" s="23">
        <v>0</v>
      </c>
      <c r="L152" s="23">
        <v>0</v>
      </c>
      <c r="M152" s="23">
        <v>400</v>
      </c>
      <c r="N152" s="135">
        <v>600</v>
      </c>
      <c r="O152" s="23" t="s">
        <v>31</v>
      </c>
      <c r="P152" s="23">
        <f t="shared" si="6"/>
        <v>600</v>
      </c>
      <c r="Q152" s="217">
        <f t="shared" si="7"/>
        <v>1</v>
      </c>
      <c r="R152" s="126" t="e">
        <f>VLOOKUP(G152,#REF!,11,0)*Q152</f>
        <v>#REF!</v>
      </c>
      <c r="S152" s="23" t="s">
        <v>247</v>
      </c>
      <c r="T152" s="23" t="s">
        <v>248</v>
      </c>
      <c r="U152" s="23" t="s">
        <v>31</v>
      </c>
      <c r="V152" s="23" t="s">
        <v>31</v>
      </c>
      <c r="W152" s="23" t="s">
        <v>31</v>
      </c>
      <c r="X152" s="23" t="s">
        <v>31</v>
      </c>
      <c r="Y152" s="23" t="s">
        <v>31</v>
      </c>
      <c r="Z152" s="23" t="s">
        <v>31</v>
      </c>
      <c r="AA152" s="23" t="s">
        <v>31</v>
      </c>
      <c r="AB152" s="23" t="s">
        <v>269</v>
      </c>
      <c r="AC152" s="187" t="s">
        <v>558</v>
      </c>
      <c r="AD152" s="187" t="s">
        <v>448</v>
      </c>
      <c r="AE152" s="187" t="s">
        <v>402</v>
      </c>
      <c r="AF152" s="187"/>
      <c r="AG152" s="187"/>
      <c r="AH152" s="123" t="str">
        <f>IF(AG152=1,'BU FACILITIES'!$G$24,"")</f>
        <v/>
      </c>
      <c r="AI152" s="187"/>
      <c r="AJ152" s="196"/>
      <c r="AK152" s="120">
        <f>AJ152*'BU FACILITIES'!$G$21</f>
        <v>0</v>
      </c>
      <c r="AL152" s="196">
        <v>0</v>
      </c>
      <c r="AM152" s="121">
        <f>PRODUCT( AL152,'BU FACILITIES'!$G$22)</f>
        <v>0</v>
      </c>
      <c r="AN152" s="187"/>
      <c r="AO152" s="187"/>
      <c r="AP152" s="125" t="str">
        <f>IF(AO152=1,'BU FACILITIES'!$G$23,"")</f>
        <v/>
      </c>
      <c r="AQ152" s="187"/>
      <c r="AR152" s="187"/>
      <c r="AS152" s="122" t="str">
        <f>IF(AR152=300,AQ152*'BU FACILITIES'!$G$4, IF(AND(AR152&gt;300,AR152&lt;=500), AQ152*'BU FACILITIES'!$G$5, IF(AND(AR152&gt;500,AR152&lt;=1250), AQ152*'BU FACILITIES'!$G$6, IF(AND(AR152&gt;1250,AR152&lt;=2000),AQ152*'BU FACILITIES'!$G$7, ""))))</f>
        <v/>
      </c>
      <c r="AT152" s="187"/>
      <c r="AU152" s="187"/>
      <c r="AV152" s="122" t="str">
        <f>IF(AU152=100,AT152*'BU FACILITIES'!$G$8, IF(AND(AU152&gt;100,AU152&lt;=500), AT152*'BU FACILITIES'!$G$9, IF(AND(AU152&gt;500,AU152&lt;=800), AT152*'BU FACILITIES'!$G$10, IF(AND(AU152&gt;800,AU152&lt;=1000),AT152*'BU FACILITIES'!$G$11, IF(AND(AU152&gt;1000,AU152&lt;=1400),AT152*'BU FACILITIES'!$G$12, IF(AND(AU152&gt;1400,AU152&lt;=2000),AT152*'BU FACILITIES'!$G$13,""))))))</f>
        <v/>
      </c>
      <c r="AW152" s="187"/>
      <c r="AX152" s="187"/>
      <c r="AY152" s="122" t="str">
        <f>IF(AX152=30,AW152*'BU FACILITIES'!$G$14, IF(AX152=45, AW152*'BU FACILITIES'!$G$15, IF(AX152=450, AW152*'BU FACILITIES'!$G$16, "")))</f>
        <v/>
      </c>
      <c r="AZ152" s="187"/>
      <c r="BA152" s="187"/>
      <c r="BB152" s="187" t="str">
        <f>IF(AND(BA152&gt;=1,BA152&lt;=5),'BU FACILITIES'!$G$17, IF(AND(BA152&gt;5, BA152&lt;=10), 'BU FACILITIES'!$G$18, IF(AND(BA152&gt;10,BA152&lt;=20),'BU FACILITIES'!$G$19,"")))</f>
        <v/>
      </c>
      <c r="BC152" s="187"/>
      <c r="BD152" s="195" t="str">
        <f>IF(AND(AZ152="Modificar ductería de AA",BC152=1), 'BU FACILITIES'!$G$20, "")</f>
        <v/>
      </c>
    </row>
    <row r="153" spans="1:56" s="3" customFormat="1" ht="12.75" hidden="1" x14ac:dyDescent="0.2">
      <c r="A153" s="24" t="s">
        <v>241</v>
      </c>
      <c r="B153" s="23" t="s">
        <v>242</v>
      </c>
      <c r="C153" s="23" t="s">
        <v>243</v>
      </c>
      <c r="D153" s="38" t="s">
        <v>352</v>
      </c>
      <c r="E153" s="23" t="s">
        <v>245</v>
      </c>
      <c r="F153" s="23">
        <v>2023</v>
      </c>
      <c r="G153" s="23" t="s">
        <v>288</v>
      </c>
      <c r="H153" s="23" t="s">
        <v>57</v>
      </c>
      <c r="I153" s="23" t="s">
        <v>31</v>
      </c>
      <c r="J153" s="23" t="s">
        <v>246</v>
      </c>
      <c r="K153" s="23">
        <v>0</v>
      </c>
      <c r="L153" s="23">
        <v>0</v>
      </c>
      <c r="M153" s="23">
        <v>400</v>
      </c>
      <c r="N153" s="135">
        <v>600</v>
      </c>
      <c r="O153" s="23" t="s">
        <v>31</v>
      </c>
      <c r="P153" s="23">
        <f t="shared" si="6"/>
        <v>600</v>
      </c>
      <c r="Q153" s="217">
        <f t="shared" si="7"/>
        <v>1</v>
      </c>
      <c r="R153" s="126" t="e">
        <f>VLOOKUP(G153,#REF!,11,0)*Q153</f>
        <v>#REF!</v>
      </c>
      <c r="S153" s="23" t="s">
        <v>247</v>
      </c>
      <c r="T153" s="23" t="s">
        <v>248</v>
      </c>
      <c r="U153" s="23" t="s">
        <v>31</v>
      </c>
      <c r="V153" s="23" t="s">
        <v>31</v>
      </c>
      <c r="W153" s="23" t="s">
        <v>31</v>
      </c>
      <c r="X153" s="23" t="s">
        <v>31</v>
      </c>
      <c r="Y153" s="23" t="s">
        <v>31</v>
      </c>
      <c r="Z153" s="23" t="s">
        <v>31</v>
      </c>
      <c r="AA153" s="23" t="s">
        <v>31</v>
      </c>
      <c r="AB153" s="23" t="s">
        <v>269</v>
      </c>
      <c r="AC153" s="187" t="s">
        <v>559</v>
      </c>
      <c r="AD153" s="187" t="s">
        <v>473</v>
      </c>
      <c r="AE153" s="187" t="s">
        <v>402</v>
      </c>
      <c r="AF153" s="187"/>
      <c r="AG153" s="187"/>
      <c r="AH153" s="123" t="str">
        <f>IF(AG153=1,'BU FACILITIES'!$G$24,"")</f>
        <v/>
      </c>
      <c r="AI153" s="187"/>
      <c r="AJ153" s="196"/>
      <c r="AK153" s="120">
        <f>AJ153*'BU FACILITIES'!$G$21</f>
        <v>0</v>
      </c>
      <c r="AL153" s="196">
        <v>0</v>
      </c>
      <c r="AM153" s="121">
        <f>PRODUCT( AL153,'BU FACILITIES'!$G$22)</f>
        <v>0</v>
      </c>
      <c r="AN153" s="187"/>
      <c r="AO153" s="187"/>
      <c r="AP153" s="125" t="str">
        <f>IF(AO153=1,'BU FACILITIES'!$G$23,"")</f>
        <v/>
      </c>
      <c r="AQ153" s="187"/>
      <c r="AR153" s="187"/>
      <c r="AS153" s="122" t="str">
        <f>IF(AR153=300,AQ153*'BU FACILITIES'!$G$4, IF(AND(AR153&gt;300,AR153&lt;=500), AQ153*'BU FACILITIES'!$G$5, IF(AND(AR153&gt;500,AR153&lt;=1250), AQ153*'BU FACILITIES'!$G$6, IF(AND(AR153&gt;1250,AR153&lt;=2000),AQ153*'BU FACILITIES'!$G$7, ""))))</f>
        <v/>
      </c>
      <c r="AT153" s="187"/>
      <c r="AU153" s="187"/>
      <c r="AV153" s="122" t="str">
        <f>IF(AU153=100,AT153*'BU FACILITIES'!$G$8, IF(AND(AU153&gt;100,AU153&lt;=500), AT153*'BU FACILITIES'!$G$9, IF(AND(AU153&gt;500,AU153&lt;=800), AT153*'BU FACILITIES'!$G$10, IF(AND(AU153&gt;800,AU153&lt;=1000),AT153*'BU FACILITIES'!$G$11, IF(AND(AU153&gt;1000,AU153&lt;=1400),AT153*'BU FACILITIES'!$G$12, IF(AND(AU153&gt;1400,AU153&lt;=2000),AT153*'BU FACILITIES'!$G$13,""))))))</f>
        <v/>
      </c>
      <c r="AW153" s="187"/>
      <c r="AX153" s="187"/>
      <c r="AY153" s="122" t="str">
        <f>IF(AX153=30,AW153*'BU FACILITIES'!$G$14, IF(AX153=45, AW153*'BU FACILITIES'!$G$15, IF(AX153=450, AW153*'BU FACILITIES'!$G$16, "")))</f>
        <v/>
      </c>
      <c r="AZ153" s="187"/>
      <c r="BA153" s="187"/>
      <c r="BB153" s="187" t="str">
        <f>IF(AND(BA153&gt;=1,BA153&lt;=5),'BU FACILITIES'!$G$17, IF(AND(BA153&gt;5, BA153&lt;=10), 'BU FACILITIES'!$G$18, IF(AND(BA153&gt;10,BA153&lt;=20),'BU FACILITIES'!$G$19,"")))</f>
        <v/>
      </c>
      <c r="BC153" s="187"/>
      <c r="BD153" s="195" t="str">
        <f>IF(AND(AZ153="Modificar ductería de AA",BC153=1), 'BU FACILITIES'!$G$20, "")</f>
        <v/>
      </c>
    </row>
    <row r="154" spans="1:56" s="3" customFormat="1" ht="12.75" hidden="1" x14ac:dyDescent="0.2">
      <c r="A154" s="24" t="s">
        <v>241</v>
      </c>
      <c r="B154" s="23" t="s">
        <v>242</v>
      </c>
      <c r="C154" s="23" t="s">
        <v>243</v>
      </c>
      <c r="D154" s="38" t="s">
        <v>352</v>
      </c>
      <c r="E154" s="23" t="s">
        <v>245</v>
      </c>
      <c r="F154" s="23">
        <v>2023</v>
      </c>
      <c r="G154" s="21" t="s">
        <v>56</v>
      </c>
      <c r="H154" s="23" t="s">
        <v>57</v>
      </c>
      <c r="I154" s="23" t="s">
        <v>31</v>
      </c>
      <c r="J154" s="23" t="s">
        <v>246</v>
      </c>
      <c r="K154" s="23">
        <v>0</v>
      </c>
      <c r="L154" s="23">
        <v>0</v>
      </c>
      <c r="M154" s="23">
        <v>400</v>
      </c>
      <c r="N154" s="135">
        <v>600</v>
      </c>
      <c r="O154" s="23" t="s">
        <v>31</v>
      </c>
      <c r="P154" s="23">
        <f t="shared" si="6"/>
        <v>600</v>
      </c>
      <c r="Q154" s="217">
        <f t="shared" si="7"/>
        <v>1</v>
      </c>
      <c r="R154" s="126" t="e">
        <f>VLOOKUP(G154,#REF!,11,0)*Q154</f>
        <v>#REF!</v>
      </c>
      <c r="S154" s="23" t="s">
        <v>247</v>
      </c>
      <c r="T154" s="23" t="s">
        <v>248</v>
      </c>
      <c r="U154" s="23" t="s">
        <v>31</v>
      </c>
      <c r="V154" s="23" t="s">
        <v>31</v>
      </c>
      <c r="W154" s="23" t="s">
        <v>31</v>
      </c>
      <c r="X154" s="23" t="s">
        <v>31</v>
      </c>
      <c r="Y154" s="23" t="s">
        <v>31</v>
      </c>
      <c r="Z154" s="23" t="s">
        <v>31</v>
      </c>
      <c r="AA154" s="23" t="s">
        <v>31</v>
      </c>
      <c r="AB154" s="23" t="s">
        <v>269</v>
      </c>
      <c r="AC154" s="187" t="s">
        <v>559</v>
      </c>
      <c r="AD154" s="187" t="s">
        <v>560</v>
      </c>
      <c r="AE154" s="187" t="s">
        <v>402</v>
      </c>
      <c r="AF154" s="187"/>
      <c r="AG154" s="187"/>
      <c r="AH154" s="123" t="str">
        <f>IF(AG154=1,'BU FACILITIES'!$G$24,"")</f>
        <v/>
      </c>
      <c r="AI154" s="187"/>
      <c r="AJ154" s="196"/>
      <c r="AK154" s="120">
        <f>AJ154*'BU FACILITIES'!$G$21</f>
        <v>0</v>
      </c>
      <c r="AL154" s="196">
        <v>0</v>
      </c>
      <c r="AM154" s="121">
        <f>PRODUCT( AL154,'BU FACILITIES'!$G$22)</f>
        <v>0</v>
      </c>
      <c r="AN154" s="187"/>
      <c r="AO154" s="187"/>
      <c r="AP154" s="125" t="str">
        <f>IF(AO154=1,'BU FACILITIES'!$G$23,"")</f>
        <v/>
      </c>
      <c r="AQ154" s="187"/>
      <c r="AR154" s="187"/>
      <c r="AS154" s="122" t="str">
        <f>IF(AR154=300,AQ154*'BU FACILITIES'!$G$4, IF(AND(AR154&gt;300,AR154&lt;=500), AQ154*'BU FACILITIES'!$G$5, IF(AND(AR154&gt;500,AR154&lt;=1250), AQ154*'BU FACILITIES'!$G$6, IF(AND(AR154&gt;1250,AR154&lt;=2000),AQ154*'BU FACILITIES'!$G$7, ""))))</f>
        <v/>
      </c>
      <c r="AT154" s="187"/>
      <c r="AU154" s="187"/>
      <c r="AV154" s="122" t="str">
        <f>IF(AU154=100,AT154*'BU FACILITIES'!$G$8, IF(AND(AU154&gt;100,AU154&lt;=500), AT154*'BU FACILITIES'!$G$9, IF(AND(AU154&gt;500,AU154&lt;=800), AT154*'BU FACILITIES'!$G$10, IF(AND(AU154&gt;800,AU154&lt;=1000),AT154*'BU FACILITIES'!$G$11, IF(AND(AU154&gt;1000,AU154&lt;=1400),AT154*'BU FACILITIES'!$G$12, IF(AND(AU154&gt;1400,AU154&lt;=2000),AT154*'BU FACILITIES'!$G$13,""))))))</f>
        <v/>
      </c>
      <c r="AW154" s="187"/>
      <c r="AX154" s="187"/>
      <c r="AY154" s="122" t="str">
        <f>IF(AX154=30,AW154*'BU FACILITIES'!$G$14, IF(AX154=45, AW154*'BU FACILITIES'!$G$15, IF(AX154=450, AW154*'BU FACILITIES'!$G$16, "")))</f>
        <v/>
      </c>
      <c r="AZ154" s="187"/>
      <c r="BA154" s="187"/>
      <c r="BB154" s="187" t="str">
        <f>IF(AND(BA154&gt;=1,BA154&lt;=5),'BU FACILITIES'!$G$17, IF(AND(BA154&gt;5, BA154&lt;=10), 'BU FACILITIES'!$G$18, IF(AND(BA154&gt;10,BA154&lt;=20),'BU FACILITIES'!$G$19,"")))</f>
        <v/>
      </c>
      <c r="BC154" s="187"/>
      <c r="BD154" s="195" t="str">
        <f>IF(AND(AZ154="Modificar ductería de AA",BC154=1), 'BU FACILITIES'!$G$20, "")</f>
        <v/>
      </c>
    </row>
    <row r="155" spans="1:56" s="3" customFormat="1" ht="12.75" hidden="1" x14ac:dyDescent="0.2">
      <c r="A155" s="24" t="s">
        <v>241</v>
      </c>
      <c r="B155" s="23" t="s">
        <v>242</v>
      </c>
      <c r="C155" s="23" t="s">
        <v>243</v>
      </c>
      <c r="D155" s="38" t="s">
        <v>352</v>
      </c>
      <c r="E155" s="23" t="s">
        <v>245</v>
      </c>
      <c r="F155" s="23">
        <v>2023</v>
      </c>
      <c r="G155" s="23" t="s">
        <v>289</v>
      </c>
      <c r="H155" s="23" t="s">
        <v>57</v>
      </c>
      <c r="I155" s="23" t="s">
        <v>31</v>
      </c>
      <c r="J155" s="23" t="s">
        <v>246</v>
      </c>
      <c r="K155" s="23">
        <v>0</v>
      </c>
      <c r="L155" s="23">
        <v>0</v>
      </c>
      <c r="M155" s="23">
        <v>400</v>
      </c>
      <c r="N155" s="131">
        <v>600</v>
      </c>
      <c r="O155" s="23" t="s">
        <v>31</v>
      </c>
      <c r="P155" s="23">
        <f t="shared" si="6"/>
        <v>600</v>
      </c>
      <c r="Q155" s="217">
        <f t="shared" si="7"/>
        <v>1</v>
      </c>
      <c r="R155" s="126" t="e">
        <f>VLOOKUP(G155,#REF!,11,0)*Q155</f>
        <v>#REF!</v>
      </c>
      <c r="S155" s="23" t="s">
        <v>247</v>
      </c>
      <c r="T155" s="23" t="s">
        <v>248</v>
      </c>
      <c r="U155" s="23" t="s">
        <v>31</v>
      </c>
      <c r="V155" s="23" t="s">
        <v>31</v>
      </c>
      <c r="W155" s="23" t="s">
        <v>31</v>
      </c>
      <c r="X155" s="23" t="s">
        <v>31</v>
      </c>
      <c r="Y155" s="23" t="s">
        <v>31</v>
      </c>
      <c r="Z155" s="23" t="s">
        <v>31</v>
      </c>
      <c r="AA155" s="23" t="s">
        <v>31</v>
      </c>
      <c r="AB155" s="23" t="s">
        <v>269</v>
      </c>
      <c r="AC155" s="187" t="s">
        <v>472</v>
      </c>
      <c r="AD155" s="187" t="s">
        <v>473</v>
      </c>
      <c r="AE155" s="187" t="s">
        <v>402</v>
      </c>
      <c r="AF155" s="187"/>
      <c r="AG155" s="187"/>
      <c r="AH155" s="123" t="str">
        <f>IF(AG155=1,'BU FACILITIES'!$G$24,"")</f>
        <v/>
      </c>
      <c r="AI155" s="187"/>
      <c r="AJ155" s="196"/>
      <c r="AK155" s="120">
        <f>AJ155*'BU FACILITIES'!$G$21</f>
        <v>0</v>
      </c>
      <c r="AL155" s="196">
        <v>0</v>
      </c>
      <c r="AM155" s="121">
        <f>PRODUCT( AL155,'BU FACILITIES'!$G$22)</f>
        <v>0</v>
      </c>
      <c r="AN155" s="187"/>
      <c r="AO155" s="187"/>
      <c r="AP155" s="125" t="str">
        <f>IF(AO155=1,'BU FACILITIES'!$G$23,"")</f>
        <v/>
      </c>
      <c r="AQ155" s="187"/>
      <c r="AR155" s="187"/>
      <c r="AS155" s="122" t="str">
        <f>IF(AR155=300,AQ155*'BU FACILITIES'!$G$4, IF(AND(AR155&gt;300,AR155&lt;=500), AQ155*'BU FACILITIES'!$G$5, IF(AND(AR155&gt;500,AR155&lt;=1250), AQ155*'BU FACILITIES'!$G$6, IF(AND(AR155&gt;1250,AR155&lt;=2000),AQ155*'BU FACILITIES'!$G$7, ""))))</f>
        <v/>
      </c>
      <c r="AT155" s="187"/>
      <c r="AU155" s="187"/>
      <c r="AV155" s="122" t="str">
        <f>IF(AU155=100,AT155*'BU FACILITIES'!$G$8, IF(AND(AU155&gt;100,AU155&lt;=500), AT155*'BU FACILITIES'!$G$9, IF(AND(AU155&gt;500,AU155&lt;=800), AT155*'BU FACILITIES'!$G$10, IF(AND(AU155&gt;800,AU155&lt;=1000),AT155*'BU FACILITIES'!$G$11, IF(AND(AU155&gt;1000,AU155&lt;=1400),AT155*'BU FACILITIES'!$G$12, IF(AND(AU155&gt;1400,AU155&lt;=2000),AT155*'BU FACILITIES'!$G$13,""))))))</f>
        <v/>
      </c>
      <c r="AW155" s="187"/>
      <c r="AX155" s="187"/>
      <c r="AY155" s="122" t="str">
        <f>IF(AX155=30,AW155*'BU FACILITIES'!$G$14, IF(AX155=45, AW155*'BU FACILITIES'!$G$15, IF(AX155=450, AW155*'BU FACILITIES'!$G$16, "")))</f>
        <v/>
      </c>
      <c r="AZ155" s="187"/>
      <c r="BA155" s="187"/>
      <c r="BB155" s="187" t="str">
        <f>IF(AND(BA155&gt;=1,BA155&lt;=5),'BU FACILITIES'!$G$17, IF(AND(BA155&gt;5, BA155&lt;=10), 'BU FACILITIES'!$G$18, IF(AND(BA155&gt;10,BA155&lt;=20),'BU FACILITIES'!$G$19,"")))</f>
        <v/>
      </c>
      <c r="BC155" s="187"/>
      <c r="BD155" s="195" t="str">
        <f>IF(AND(AZ155="Modificar ductería de AA",BC155=1), 'BU FACILITIES'!$G$20, "")</f>
        <v/>
      </c>
    </row>
    <row r="156" spans="1:56" s="3" customFormat="1" ht="12.75" hidden="1" x14ac:dyDescent="0.2">
      <c r="A156" s="24" t="s">
        <v>241</v>
      </c>
      <c r="B156" s="23" t="s">
        <v>242</v>
      </c>
      <c r="C156" s="23" t="s">
        <v>243</v>
      </c>
      <c r="D156" s="38" t="s">
        <v>352</v>
      </c>
      <c r="E156" s="23" t="s">
        <v>245</v>
      </c>
      <c r="F156" s="23">
        <v>2023</v>
      </c>
      <c r="G156" s="23" t="s">
        <v>83</v>
      </c>
      <c r="H156" s="23" t="s">
        <v>57</v>
      </c>
      <c r="I156" s="23" t="s">
        <v>31</v>
      </c>
      <c r="J156" s="23" t="s">
        <v>246</v>
      </c>
      <c r="K156" s="23">
        <v>0</v>
      </c>
      <c r="L156" s="23">
        <v>0</v>
      </c>
      <c r="M156" s="23">
        <v>400</v>
      </c>
      <c r="N156" s="135">
        <v>600</v>
      </c>
      <c r="O156" s="23" t="s">
        <v>31</v>
      </c>
      <c r="P156" s="23">
        <f t="shared" ref="P156:P172" si="8">SUMIF($G$3:$G$292,G156,$N$3:$N$292)</f>
        <v>600</v>
      </c>
      <c r="Q156" s="217">
        <f t="shared" si="7"/>
        <v>1</v>
      </c>
      <c r="R156" s="126" t="e">
        <f>VLOOKUP(G156,#REF!,11,0)*Q156</f>
        <v>#REF!</v>
      </c>
      <c r="S156" s="23" t="s">
        <v>247</v>
      </c>
      <c r="T156" s="23" t="s">
        <v>248</v>
      </c>
      <c r="U156" s="23" t="s">
        <v>31</v>
      </c>
      <c r="V156" s="23" t="s">
        <v>31</v>
      </c>
      <c r="W156" s="23" t="s">
        <v>31</v>
      </c>
      <c r="X156" s="23" t="s">
        <v>31</v>
      </c>
      <c r="Y156" s="23" t="s">
        <v>31</v>
      </c>
      <c r="Z156" s="23" t="s">
        <v>31</v>
      </c>
      <c r="AA156" s="23" t="s">
        <v>31</v>
      </c>
      <c r="AB156" s="23" t="s">
        <v>269</v>
      </c>
      <c r="AC156" s="187" t="s">
        <v>561</v>
      </c>
      <c r="AD156" s="187" t="s">
        <v>495</v>
      </c>
      <c r="AE156" s="187" t="s">
        <v>402</v>
      </c>
      <c r="AF156" s="187"/>
      <c r="AG156" s="187"/>
      <c r="AH156" s="123" t="str">
        <f>IF(AG156=1,'BU FACILITIES'!$G$24,"")</f>
        <v/>
      </c>
      <c r="AI156" s="187"/>
      <c r="AJ156" s="196"/>
      <c r="AK156" s="120">
        <f>AJ156*'BU FACILITIES'!$G$21</f>
        <v>0</v>
      </c>
      <c r="AL156" s="196">
        <v>0</v>
      </c>
      <c r="AM156" s="121">
        <f>PRODUCT( AL156,'BU FACILITIES'!$G$22)</f>
        <v>0</v>
      </c>
      <c r="AN156" s="187"/>
      <c r="AO156" s="187"/>
      <c r="AP156" s="125" t="str">
        <f>IF(AO156=1,'BU FACILITIES'!$G$23,"")</f>
        <v/>
      </c>
      <c r="AQ156" s="187"/>
      <c r="AR156" s="187"/>
      <c r="AS156" s="122" t="str">
        <f>IF(AR156=300,AQ156*'BU FACILITIES'!$G$4, IF(AND(AR156&gt;300,AR156&lt;=500), AQ156*'BU FACILITIES'!$G$5, IF(AND(AR156&gt;500,AR156&lt;=1250), AQ156*'BU FACILITIES'!$G$6, IF(AND(AR156&gt;1250,AR156&lt;=2000),AQ156*'BU FACILITIES'!$G$7, ""))))</f>
        <v/>
      </c>
      <c r="AT156" s="187"/>
      <c r="AU156" s="187"/>
      <c r="AV156" s="122" t="str">
        <f>IF(AU156=100,AT156*'BU FACILITIES'!$G$8, IF(AND(AU156&gt;100,AU156&lt;=500), AT156*'BU FACILITIES'!$G$9, IF(AND(AU156&gt;500,AU156&lt;=800), AT156*'BU FACILITIES'!$G$10, IF(AND(AU156&gt;800,AU156&lt;=1000),AT156*'BU FACILITIES'!$G$11, IF(AND(AU156&gt;1000,AU156&lt;=1400),AT156*'BU FACILITIES'!$G$12, IF(AND(AU156&gt;1400,AU156&lt;=2000),AT156*'BU FACILITIES'!$G$13,""))))))</f>
        <v/>
      </c>
      <c r="AW156" s="187"/>
      <c r="AX156" s="187"/>
      <c r="AY156" s="122" t="str">
        <f>IF(AX156=30,AW156*'BU FACILITIES'!$G$14, IF(AX156=45, AW156*'BU FACILITIES'!$G$15, IF(AX156=450, AW156*'BU FACILITIES'!$G$16, "")))</f>
        <v/>
      </c>
      <c r="AZ156" s="187"/>
      <c r="BA156" s="187"/>
      <c r="BB156" s="187" t="str">
        <f>IF(AND(BA156&gt;=1,BA156&lt;=5),'BU FACILITIES'!$G$17, IF(AND(BA156&gt;5, BA156&lt;=10), 'BU FACILITIES'!$G$18, IF(AND(BA156&gt;10,BA156&lt;=20),'BU FACILITIES'!$G$19,"")))</f>
        <v/>
      </c>
      <c r="BC156" s="187"/>
      <c r="BD156" s="195" t="str">
        <f>IF(AND(AZ156="Modificar ductería de AA",BC156=1), 'BU FACILITIES'!$G$20, "")</f>
        <v/>
      </c>
    </row>
    <row r="157" spans="1:56" s="3" customFormat="1" ht="12.75" hidden="1" x14ac:dyDescent="0.2">
      <c r="A157" s="24" t="s">
        <v>241</v>
      </c>
      <c r="B157" s="23" t="s">
        <v>242</v>
      </c>
      <c r="C157" s="23" t="s">
        <v>243</v>
      </c>
      <c r="D157" s="38" t="s">
        <v>352</v>
      </c>
      <c r="E157" s="23" t="s">
        <v>245</v>
      </c>
      <c r="F157" s="23">
        <v>2023</v>
      </c>
      <c r="G157" s="23" t="s">
        <v>103</v>
      </c>
      <c r="H157" s="23" t="s">
        <v>57</v>
      </c>
      <c r="I157" s="23" t="s">
        <v>31</v>
      </c>
      <c r="J157" s="23" t="s">
        <v>246</v>
      </c>
      <c r="K157" s="23">
        <v>0</v>
      </c>
      <c r="L157" s="23">
        <v>0</v>
      </c>
      <c r="M157" s="23">
        <v>400</v>
      </c>
      <c r="N157" s="135">
        <v>600</v>
      </c>
      <c r="O157" s="23" t="s">
        <v>31</v>
      </c>
      <c r="P157" s="23">
        <f t="shared" si="8"/>
        <v>600</v>
      </c>
      <c r="Q157" s="217">
        <f t="shared" si="7"/>
        <v>1</v>
      </c>
      <c r="R157" s="126" t="e">
        <f>VLOOKUP(G157,#REF!,11,0)*Q157</f>
        <v>#REF!</v>
      </c>
      <c r="S157" s="23" t="s">
        <v>247</v>
      </c>
      <c r="T157" s="23" t="s">
        <v>248</v>
      </c>
      <c r="U157" s="23" t="s">
        <v>31</v>
      </c>
      <c r="V157" s="23" t="s">
        <v>31</v>
      </c>
      <c r="W157" s="23" t="s">
        <v>31</v>
      </c>
      <c r="X157" s="23" t="s">
        <v>31</v>
      </c>
      <c r="Y157" s="23" t="s">
        <v>31</v>
      </c>
      <c r="Z157" s="23" t="s">
        <v>31</v>
      </c>
      <c r="AA157" s="23" t="s">
        <v>31</v>
      </c>
      <c r="AB157" s="23" t="s">
        <v>269</v>
      </c>
      <c r="AC157" s="187" t="s">
        <v>559</v>
      </c>
      <c r="AD157" s="187" t="s">
        <v>473</v>
      </c>
      <c r="AE157" s="187" t="s">
        <v>402</v>
      </c>
      <c r="AF157" s="187"/>
      <c r="AG157" s="187"/>
      <c r="AH157" s="123" t="str">
        <f>IF(AG157=1,'BU FACILITIES'!$G$24,"")</f>
        <v/>
      </c>
      <c r="AI157" s="187"/>
      <c r="AJ157" s="196"/>
      <c r="AK157" s="120">
        <f>AJ157*'BU FACILITIES'!$G$21</f>
        <v>0</v>
      </c>
      <c r="AL157" s="196">
        <v>0</v>
      </c>
      <c r="AM157" s="121">
        <f>PRODUCT( AL157,'BU FACILITIES'!$G$22)</f>
        <v>0</v>
      </c>
      <c r="AN157" s="187"/>
      <c r="AO157" s="187"/>
      <c r="AP157" s="125" t="str">
        <f>IF(AO157=1,'BU FACILITIES'!$G$23,"")</f>
        <v/>
      </c>
      <c r="AQ157" s="187"/>
      <c r="AR157" s="187"/>
      <c r="AS157" s="122" t="str">
        <f>IF(AR157=300,AQ157*'BU FACILITIES'!$G$4, IF(AND(AR157&gt;300,AR157&lt;=500), AQ157*'BU FACILITIES'!$G$5, IF(AND(AR157&gt;500,AR157&lt;=1250), AQ157*'BU FACILITIES'!$G$6, IF(AND(AR157&gt;1250,AR157&lt;=2000),AQ157*'BU FACILITIES'!$G$7, ""))))</f>
        <v/>
      </c>
      <c r="AT157" s="187"/>
      <c r="AU157" s="187"/>
      <c r="AV157" s="122" t="str">
        <f>IF(AU157=100,AT157*'BU FACILITIES'!$G$8, IF(AND(AU157&gt;100,AU157&lt;=500), AT157*'BU FACILITIES'!$G$9, IF(AND(AU157&gt;500,AU157&lt;=800), AT157*'BU FACILITIES'!$G$10, IF(AND(AU157&gt;800,AU157&lt;=1000),AT157*'BU FACILITIES'!$G$11, IF(AND(AU157&gt;1000,AU157&lt;=1400),AT157*'BU FACILITIES'!$G$12, IF(AND(AU157&gt;1400,AU157&lt;=2000),AT157*'BU FACILITIES'!$G$13,""))))))</f>
        <v/>
      </c>
      <c r="AW157" s="187"/>
      <c r="AX157" s="187"/>
      <c r="AY157" s="122" t="str">
        <f>IF(AX157=30,AW157*'BU FACILITIES'!$G$14, IF(AX157=45, AW157*'BU FACILITIES'!$G$15, IF(AX157=450, AW157*'BU FACILITIES'!$G$16, "")))</f>
        <v/>
      </c>
      <c r="AZ157" s="187"/>
      <c r="BA157" s="187"/>
      <c r="BB157" s="187" t="str">
        <f>IF(AND(BA157&gt;=1,BA157&lt;=5),'BU FACILITIES'!$G$17, IF(AND(BA157&gt;5, BA157&lt;=10), 'BU FACILITIES'!$G$18, IF(AND(BA157&gt;10,BA157&lt;=20),'BU FACILITIES'!$G$19,"")))</f>
        <v/>
      </c>
      <c r="BC157" s="187"/>
      <c r="BD157" s="195" t="str">
        <f>IF(AND(AZ157="Modificar ductería de AA",BC157=1), 'BU FACILITIES'!$G$20, "")</f>
        <v/>
      </c>
    </row>
    <row r="158" spans="1:56" s="3" customFormat="1" ht="12.75" hidden="1" x14ac:dyDescent="0.2">
      <c r="A158" s="24" t="s">
        <v>241</v>
      </c>
      <c r="B158" s="23" t="s">
        <v>242</v>
      </c>
      <c r="C158" s="23" t="s">
        <v>243</v>
      </c>
      <c r="D158" s="38" t="s">
        <v>352</v>
      </c>
      <c r="E158" s="23" t="s">
        <v>245</v>
      </c>
      <c r="F158" s="23">
        <v>2023</v>
      </c>
      <c r="G158" s="23" t="s">
        <v>70</v>
      </c>
      <c r="H158" s="23" t="s">
        <v>57</v>
      </c>
      <c r="I158" s="23" t="s">
        <v>31</v>
      </c>
      <c r="J158" s="23" t="s">
        <v>246</v>
      </c>
      <c r="K158" s="23">
        <v>0</v>
      </c>
      <c r="L158" s="23">
        <v>0</v>
      </c>
      <c r="M158" s="23">
        <v>400</v>
      </c>
      <c r="N158" s="135">
        <v>600</v>
      </c>
      <c r="O158" s="23" t="s">
        <v>31</v>
      </c>
      <c r="P158" s="23">
        <f t="shared" si="8"/>
        <v>600</v>
      </c>
      <c r="Q158" s="217">
        <f t="shared" si="7"/>
        <v>1</v>
      </c>
      <c r="R158" s="126" t="e">
        <f>VLOOKUP(G158,#REF!,11,0)*Q158</f>
        <v>#REF!</v>
      </c>
      <c r="S158" s="23" t="s">
        <v>247</v>
      </c>
      <c r="T158" s="23" t="s">
        <v>248</v>
      </c>
      <c r="U158" s="23" t="s">
        <v>31</v>
      </c>
      <c r="V158" s="23" t="s">
        <v>31</v>
      </c>
      <c r="W158" s="23" t="s">
        <v>31</v>
      </c>
      <c r="X158" s="23" t="s">
        <v>31</v>
      </c>
      <c r="Y158" s="23" t="s">
        <v>31</v>
      </c>
      <c r="Z158" s="23" t="s">
        <v>31</v>
      </c>
      <c r="AA158" s="23" t="s">
        <v>31</v>
      </c>
      <c r="AB158" s="23" t="s">
        <v>269</v>
      </c>
      <c r="AC158" s="187" t="s">
        <v>472</v>
      </c>
      <c r="AD158" s="187" t="s">
        <v>473</v>
      </c>
      <c r="AE158" s="187" t="s">
        <v>402</v>
      </c>
      <c r="AF158" s="187"/>
      <c r="AG158" s="187"/>
      <c r="AH158" s="123" t="str">
        <f>IF(AG158=1,'BU FACILITIES'!$G$24,"")</f>
        <v/>
      </c>
      <c r="AI158" s="187"/>
      <c r="AJ158" s="196"/>
      <c r="AK158" s="120">
        <f>AJ158*'BU FACILITIES'!$G$21</f>
        <v>0</v>
      </c>
      <c r="AL158" s="196">
        <v>0</v>
      </c>
      <c r="AM158" s="121">
        <f>PRODUCT( AL158,'BU FACILITIES'!$G$22)</f>
        <v>0</v>
      </c>
      <c r="AN158" s="187"/>
      <c r="AO158" s="187"/>
      <c r="AP158" s="125" t="str">
        <f>IF(AO158=1,'BU FACILITIES'!$G$23,"")</f>
        <v/>
      </c>
      <c r="AQ158" s="187"/>
      <c r="AR158" s="187"/>
      <c r="AS158" s="122" t="str">
        <f>IF(AR158=300,AQ158*'BU FACILITIES'!$G$4, IF(AND(AR158&gt;300,AR158&lt;=500), AQ158*'BU FACILITIES'!$G$5, IF(AND(AR158&gt;500,AR158&lt;=1250), AQ158*'BU FACILITIES'!$G$6, IF(AND(AR158&gt;1250,AR158&lt;=2000),AQ158*'BU FACILITIES'!$G$7, ""))))</f>
        <v/>
      </c>
      <c r="AT158" s="187"/>
      <c r="AU158" s="187"/>
      <c r="AV158" s="122" t="str">
        <f>IF(AU158=100,AT158*'BU FACILITIES'!$G$8, IF(AND(AU158&gt;100,AU158&lt;=500), AT158*'BU FACILITIES'!$G$9, IF(AND(AU158&gt;500,AU158&lt;=800), AT158*'BU FACILITIES'!$G$10, IF(AND(AU158&gt;800,AU158&lt;=1000),AT158*'BU FACILITIES'!$G$11, IF(AND(AU158&gt;1000,AU158&lt;=1400),AT158*'BU FACILITIES'!$G$12, IF(AND(AU158&gt;1400,AU158&lt;=2000),AT158*'BU FACILITIES'!$G$13,""))))))</f>
        <v/>
      </c>
      <c r="AW158" s="187"/>
      <c r="AX158" s="187"/>
      <c r="AY158" s="122" t="str">
        <f>IF(AX158=30,AW158*'BU FACILITIES'!$G$14, IF(AX158=45, AW158*'BU FACILITIES'!$G$15, IF(AX158=450, AW158*'BU FACILITIES'!$G$16, "")))</f>
        <v/>
      </c>
      <c r="AZ158" s="187"/>
      <c r="BA158" s="187"/>
      <c r="BB158" s="187" t="str">
        <f>IF(AND(BA158&gt;=1,BA158&lt;=5),'BU FACILITIES'!$G$17, IF(AND(BA158&gt;5, BA158&lt;=10), 'BU FACILITIES'!$G$18, IF(AND(BA158&gt;10,BA158&lt;=20),'BU FACILITIES'!$G$19,"")))</f>
        <v/>
      </c>
      <c r="BC158" s="187"/>
      <c r="BD158" s="195" t="str">
        <f>IF(AND(AZ158="Modificar ductería de AA",BC158=1), 'BU FACILITIES'!$G$20, "")</f>
        <v/>
      </c>
    </row>
    <row r="159" spans="1:56" s="3" customFormat="1" ht="12.75" x14ac:dyDescent="0.2">
      <c r="A159" s="24" t="s">
        <v>241</v>
      </c>
      <c r="B159" s="23" t="s">
        <v>242</v>
      </c>
      <c r="C159" s="23" t="s">
        <v>243</v>
      </c>
      <c r="D159" s="38" t="s">
        <v>352</v>
      </c>
      <c r="E159" s="23" t="s">
        <v>245</v>
      </c>
      <c r="F159" s="23">
        <v>2023</v>
      </c>
      <c r="G159" s="23" t="s">
        <v>105</v>
      </c>
      <c r="H159" s="23" t="s">
        <v>57</v>
      </c>
      <c r="I159" s="23" t="s">
        <v>31</v>
      </c>
      <c r="J159" s="23" t="s">
        <v>246</v>
      </c>
      <c r="K159" s="23">
        <v>0</v>
      </c>
      <c r="L159" s="23">
        <v>0</v>
      </c>
      <c r="M159" s="23">
        <v>400</v>
      </c>
      <c r="N159" s="130">
        <v>0</v>
      </c>
      <c r="O159" s="23" t="s">
        <v>31</v>
      </c>
      <c r="P159" s="23">
        <f t="shared" si="8"/>
        <v>2850</v>
      </c>
      <c r="Q159" s="217" t="str">
        <f t="shared" si="7"/>
        <v>0</v>
      </c>
      <c r="R159" s="126" t="e">
        <f>VLOOKUP(G159,#REF!,11,0)*Q159</f>
        <v>#REF!</v>
      </c>
      <c r="S159" s="23" t="s">
        <v>247</v>
      </c>
      <c r="T159" s="23" t="s">
        <v>248</v>
      </c>
      <c r="U159" s="23" t="s">
        <v>31</v>
      </c>
      <c r="V159" s="23" t="s">
        <v>31</v>
      </c>
      <c r="W159" s="23" t="s">
        <v>31</v>
      </c>
      <c r="X159" s="23" t="s">
        <v>31</v>
      </c>
      <c r="Y159" s="23" t="s">
        <v>31</v>
      </c>
      <c r="Z159" s="23" t="s">
        <v>31</v>
      </c>
      <c r="AA159" s="23" t="s">
        <v>31</v>
      </c>
      <c r="AB159" s="23" t="s">
        <v>269</v>
      </c>
      <c r="AC159" s="187" t="s">
        <v>504</v>
      </c>
      <c r="AD159" s="187" t="s">
        <v>495</v>
      </c>
      <c r="AE159" s="187" t="s">
        <v>403</v>
      </c>
      <c r="AF159" s="187"/>
      <c r="AG159" s="187"/>
      <c r="AH159" s="123" t="str">
        <f>IF(AG159=1,'BU FACILITIES'!$G$24,"")</f>
        <v/>
      </c>
      <c r="AI159" s="187"/>
      <c r="AJ159" s="196"/>
      <c r="AK159" s="120">
        <f>AJ159*'BU FACILITIES'!$G$21</f>
        <v>0</v>
      </c>
      <c r="AL159" s="196">
        <v>0</v>
      </c>
      <c r="AM159" s="121">
        <f>PRODUCT( AL159,'BU FACILITIES'!$G$22)</f>
        <v>0</v>
      </c>
      <c r="AN159" s="187"/>
      <c r="AO159" s="187"/>
      <c r="AP159" s="125" t="str">
        <f>IF(AO159=1,'BU FACILITIES'!$G$23,"")</f>
        <v/>
      </c>
      <c r="AQ159" s="187"/>
      <c r="AR159" s="187"/>
      <c r="AS159" s="122" t="str">
        <f>IF(AR159=300,AQ159*'BU FACILITIES'!$G$4, IF(AND(AR159&gt;300,AR159&lt;=500), AQ159*'BU FACILITIES'!$G$5, IF(AND(AR159&gt;500,AR159&lt;=1250), AQ159*'BU FACILITIES'!$G$6, IF(AND(AR159&gt;1250,AR159&lt;=2000),AQ159*'BU FACILITIES'!$G$7, ""))))</f>
        <v/>
      </c>
      <c r="AT159" s="187"/>
      <c r="AU159" s="187"/>
      <c r="AV159" s="122" t="str">
        <f>IF(AU159=100,AT159*'BU FACILITIES'!$G$8, IF(AND(AU159&gt;100,AU159&lt;=500), AT159*'BU FACILITIES'!$G$9, IF(AND(AU159&gt;500,AU159&lt;=800), AT159*'BU FACILITIES'!$G$10, IF(AND(AU159&gt;800,AU159&lt;=1000),AT159*'BU FACILITIES'!$G$11, IF(AND(AU159&gt;1000,AU159&lt;=1400),AT159*'BU FACILITIES'!$G$12, IF(AND(AU159&gt;1400,AU159&lt;=2000),AT159*'BU FACILITIES'!$G$13,""))))))</f>
        <v/>
      </c>
      <c r="AW159" s="187"/>
      <c r="AX159" s="187"/>
      <c r="AY159" s="122" t="str">
        <f>IF(AX159=30,AW159*'BU FACILITIES'!$G$14, IF(AX159=45, AW159*'BU FACILITIES'!$G$15, IF(AX159=450, AW159*'BU FACILITIES'!$G$16, "")))</f>
        <v/>
      </c>
      <c r="AZ159" s="187"/>
      <c r="BA159" s="187"/>
      <c r="BB159" s="187" t="str">
        <f>IF(AND(BA159&gt;=1,BA159&lt;=5),'BU FACILITIES'!$G$17, IF(AND(BA159&gt;5, BA159&lt;=10), 'BU FACILITIES'!$G$18, IF(AND(BA159&gt;10,BA159&lt;=20),'BU FACILITIES'!$G$19,"")))</f>
        <v/>
      </c>
      <c r="BC159" s="187"/>
      <c r="BD159" s="195" t="str">
        <f>IF(AND(AZ159="Modificar ductería de AA",BC159=1), 'BU FACILITIES'!$G$20, "")</f>
        <v/>
      </c>
    </row>
    <row r="160" spans="1:56" s="3" customFormat="1" ht="12.75" hidden="1" x14ac:dyDescent="0.2">
      <c r="A160" s="24" t="s">
        <v>241</v>
      </c>
      <c r="B160" s="23" t="s">
        <v>242</v>
      </c>
      <c r="C160" s="23" t="s">
        <v>243</v>
      </c>
      <c r="D160" s="38" t="s">
        <v>352</v>
      </c>
      <c r="E160" s="23" t="s">
        <v>245</v>
      </c>
      <c r="F160" s="23">
        <v>2023</v>
      </c>
      <c r="G160" s="23" t="s">
        <v>97</v>
      </c>
      <c r="H160" s="23" t="s">
        <v>57</v>
      </c>
      <c r="I160" s="23" t="s">
        <v>31</v>
      </c>
      <c r="J160" s="23" t="s">
        <v>246</v>
      </c>
      <c r="K160" s="23">
        <v>0</v>
      </c>
      <c r="L160" s="23">
        <v>0</v>
      </c>
      <c r="M160" s="23">
        <v>400</v>
      </c>
      <c r="N160" s="135">
        <v>600</v>
      </c>
      <c r="O160" s="23" t="s">
        <v>31</v>
      </c>
      <c r="P160" s="23">
        <f t="shared" si="8"/>
        <v>600</v>
      </c>
      <c r="Q160" s="217">
        <f t="shared" si="7"/>
        <v>1</v>
      </c>
      <c r="R160" s="126" t="e">
        <f>VLOOKUP(G160,#REF!,11,0)*Q160</f>
        <v>#REF!</v>
      </c>
      <c r="S160" s="23" t="s">
        <v>247</v>
      </c>
      <c r="T160" s="23" t="s">
        <v>248</v>
      </c>
      <c r="U160" s="23" t="s">
        <v>31</v>
      </c>
      <c r="V160" s="23" t="s">
        <v>31</v>
      </c>
      <c r="W160" s="23" t="s">
        <v>31</v>
      </c>
      <c r="X160" s="23" t="s">
        <v>31</v>
      </c>
      <c r="Y160" s="23" t="s">
        <v>31</v>
      </c>
      <c r="Z160" s="23" t="s">
        <v>31</v>
      </c>
      <c r="AA160" s="23" t="s">
        <v>31</v>
      </c>
      <c r="AB160" s="23" t="s">
        <v>269</v>
      </c>
      <c r="AC160" s="187" t="s">
        <v>559</v>
      </c>
      <c r="AD160" s="187" t="s">
        <v>473</v>
      </c>
      <c r="AE160" s="187" t="s">
        <v>402</v>
      </c>
      <c r="AF160" s="187"/>
      <c r="AG160" s="187"/>
      <c r="AH160" s="123" t="str">
        <f>IF(AG160=1,'BU FACILITIES'!$G$24,"")</f>
        <v/>
      </c>
      <c r="AI160" s="187"/>
      <c r="AJ160" s="196"/>
      <c r="AK160" s="120">
        <f>AJ160*'BU FACILITIES'!$G$21</f>
        <v>0</v>
      </c>
      <c r="AL160" s="196">
        <v>0</v>
      </c>
      <c r="AM160" s="121">
        <f>PRODUCT( AL160,'BU FACILITIES'!$G$22)</f>
        <v>0</v>
      </c>
      <c r="AN160" s="187"/>
      <c r="AO160" s="187"/>
      <c r="AP160" s="125" t="str">
        <f>IF(AO160=1,'BU FACILITIES'!$G$23,"")</f>
        <v/>
      </c>
      <c r="AQ160" s="187"/>
      <c r="AR160" s="187"/>
      <c r="AS160" s="122" t="str">
        <f>IF(AR160=300,AQ160*'BU FACILITIES'!$G$4, IF(AND(AR160&gt;300,AR160&lt;=500), AQ160*'BU FACILITIES'!$G$5, IF(AND(AR160&gt;500,AR160&lt;=1250), AQ160*'BU FACILITIES'!$G$6, IF(AND(AR160&gt;1250,AR160&lt;=2000),AQ160*'BU FACILITIES'!$G$7, ""))))</f>
        <v/>
      </c>
      <c r="AT160" s="187"/>
      <c r="AU160" s="187"/>
      <c r="AV160" s="122" t="str">
        <f>IF(AU160=100,AT160*'BU FACILITIES'!$G$8, IF(AND(AU160&gt;100,AU160&lt;=500), AT160*'BU FACILITIES'!$G$9, IF(AND(AU160&gt;500,AU160&lt;=800), AT160*'BU FACILITIES'!$G$10, IF(AND(AU160&gt;800,AU160&lt;=1000),AT160*'BU FACILITIES'!$G$11, IF(AND(AU160&gt;1000,AU160&lt;=1400),AT160*'BU FACILITIES'!$G$12, IF(AND(AU160&gt;1400,AU160&lt;=2000),AT160*'BU FACILITIES'!$G$13,""))))))</f>
        <v/>
      </c>
      <c r="AW160" s="187"/>
      <c r="AX160" s="187"/>
      <c r="AY160" s="122" t="str">
        <f>IF(AX160=30,AW160*'BU FACILITIES'!$G$14, IF(AX160=45, AW160*'BU FACILITIES'!$G$15, IF(AX160=450, AW160*'BU FACILITIES'!$G$16, "")))</f>
        <v/>
      </c>
      <c r="AZ160" s="187"/>
      <c r="BA160" s="187"/>
      <c r="BB160" s="187" t="str">
        <f>IF(AND(BA160&gt;=1,BA160&lt;=5),'BU FACILITIES'!$G$17, IF(AND(BA160&gt;5, BA160&lt;=10), 'BU FACILITIES'!$G$18, IF(AND(BA160&gt;10,BA160&lt;=20),'BU FACILITIES'!$G$19,"")))</f>
        <v/>
      </c>
      <c r="BC160" s="187"/>
      <c r="BD160" s="195" t="str">
        <f>IF(AND(AZ160="Modificar ductería de AA",BC160=1), 'BU FACILITIES'!$G$20, "")</f>
        <v/>
      </c>
    </row>
    <row r="161" spans="1:56" s="3" customFormat="1" ht="12.75" hidden="1" x14ac:dyDescent="0.2">
      <c r="A161" s="24" t="s">
        <v>241</v>
      </c>
      <c r="B161" s="23" t="s">
        <v>242</v>
      </c>
      <c r="C161" s="23" t="s">
        <v>243</v>
      </c>
      <c r="D161" s="38" t="s">
        <v>352</v>
      </c>
      <c r="E161" s="23" t="s">
        <v>245</v>
      </c>
      <c r="F161" s="23">
        <v>2023</v>
      </c>
      <c r="G161" s="23" t="s">
        <v>71</v>
      </c>
      <c r="H161" s="21" t="s">
        <v>57</v>
      </c>
      <c r="I161" s="27" t="s">
        <v>31</v>
      </c>
      <c r="J161" s="23" t="s">
        <v>246</v>
      </c>
      <c r="K161" s="23">
        <v>0</v>
      </c>
      <c r="L161" s="23">
        <v>0</v>
      </c>
      <c r="M161" s="23">
        <v>400</v>
      </c>
      <c r="N161" s="135">
        <v>600</v>
      </c>
      <c r="O161" s="23" t="s">
        <v>31</v>
      </c>
      <c r="P161" s="23">
        <f t="shared" si="8"/>
        <v>1800</v>
      </c>
      <c r="Q161" s="217">
        <f t="shared" si="7"/>
        <v>0.33333333333333331</v>
      </c>
      <c r="R161" s="126" t="e">
        <f>VLOOKUP(G161,#REF!,11,0)*Q161</f>
        <v>#REF!</v>
      </c>
      <c r="S161" s="23" t="s">
        <v>247</v>
      </c>
      <c r="T161" s="23" t="s">
        <v>248</v>
      </c>
      <c r="U161" s="23" t="s">
        <v>31</v>
      </c>
      <c r="V161" s="23" t="s">
        <v>31</v>
      </c>
      <c r="W161" s="23" t="s">
        <v>31</v>
      </c>
      <c r="X161" s="23" t="s">
        <v>31</v>
      </c>
      <c r="Y161" s="23" t="s">
        <v>31</v>
      </c>
      <c r="Z161" s="23" t="s">
        <v>31</v>
      </c>
      <c r="AA161" s="23" t="s">
        <v>31</v>
      </c>
      <c r="AB161" s="23" t="s">
        <v>269</v>
      </c>
      <c r="AC161" s="187" t="s">
        <v>472</v>
      </c>
      <c r="AD161" s="187" t="s">
        <v>473</v>
      </c>
      <c r="AE161" s="187" t="s">
        <v>402</v>
      </c>
      <c r="AF161" s="187"/>
      <c r="AG161" s="187"/>
      <c r="AH161" s="123" t="str">
        <f>IF(AG161=1,'BU FACILITIES'!$G$24,"")</f>
        <v/>
      </c>
      <c r="AI161" s="187"/>
      <c r="AJ161" s="196"/>
      <c r="AK161" s="120">
        <f>AJ161*'BU FACILITIES'!$G$21</f>
        <v>0</v>
      </c>
      <c r="AL161" s="196">
        <v>0</v>
      </c>
      <c r="AM161" s="121">
        <f>PRODUCT( AL161,'BU FACILITIES'!$G$22)</f>
        <v>0</v>
      </c>
      <c r="AN161" s="187"/>
      <c r="AO161" s="187"/>
      <c r="AP161" s="125" t="str">
        <f>IF(AO161=1,'BU FACILITIES'!$G$23,"")</f>
        <v/>
      </c>
      <c r="AQ161" s="187"/>
      <c r="AR161" s="187"/>
      <c r="AS161" s="122" t="str">
        <f>IF(AR161=300,AQ161*'BU FACILITIES'!$G$4, IF(AND(AR161&gt;300,AR161&lt;=500), AQ161*'BU FACILITIES'!$G$5, IF(AND(AR161&gt;500,AR161&lt;=1250), AQ161*'BU FACILITIES'!$G$6, IF(AND(AR161&gt;1250,AR161&lt;=2000),AQ161*'BU FACILITIES'!$G$7, ""))))</f>
        <v/>
      </c>
      <c r="AT161" s="187"/>
      <c r="AU161" s="187"/>
      <c r="AV161" s="122" t="str">
        <f>IF(AU161=100,AT161*'BU FACILITIES'!$G$8, IF(AND(AU161&gt;100,AU161&lt;=500), AT161*'BU FACILITIES'!$G$9, IF(AND(AU161&gt;500,AU161&lt;=800), AT161*'BU FACILITIES'!$G$10, IF(AND(AU161&gt;800,AU161&lt;=1000),AT161*'BU FACILITIES'!$G$11, IF(AND(AU161&gt;1000,AU161&lt;=1400),AT161*'BU FACILITIES'!$G$12, IF(AND(AU161&gt;1400,AU161&lt;=2000),AT161*'BU FACILITIES'!$G$13,""))))))</f>
        <v/>
      </c>
      <c r="AW161" s="187"/>
      <c r="AX161" s="187"/>
      <c r="AY161" s="122" t="str">
        <f>IF(AX161=30,AW161*'BU FACILITIES'!$G$14, IF(AX161=45, AW161*'BU FACILITIES'!$G$15, IF(AX161=450, AW161*'BU FACILITIES'!$G$16, "")))</f>
        <v/>
      </c>
      <c r="AZ161" s="187"/>
      <c r="BA161" s="187"/>
      <c r="BB161" s="187" t="str">
        <f>IF(AND(BA161&gt;=1,BA161&lt;=5),'BU FACILITIES'!$G$17, IF(AND(BA161&gt;5, BA161&lt;=10), 'BU FACILITIES'!$G$18, IF(AND(BA161&gt;10,BA161&lt;=20),'BU FACILITIES'!$G$19,"")))</f>
        <v/>
      </c>
      <c r="BC161" s="187"/>
      <c r="BD161" s="195" t="str">
        <f>IF(AND(AZ161="Modificar ductería de AA",BC161=1), 'BU FACILITIES'!$G$20, "")</f>
        <v/>
      </c>
    </row>
    <row r="162" spans="1:56" s="3" customFormat="1" ht="12.75" hidden="1" x14ac:dyDescent="0.2">
      <c r="A162" s="24" t="s">
        <v>241</v>
      </c>
      <c r="B162" s="23" t="s">
        <v>242</v>
      </c>
      <c r="C162" s="23" t="s">
        <v>243</v>
      </c>
      <c r="D162" s="38" t="s">
        <v>352</v>
      </c>
      <c r="E162" s="23" t="s">
        <v>245</v>
      </c>
      <c r="F162" s="23">
        <v>2023</v>
      </c>
      <c r="G162" s="23" t="s">
        <v>129</v>
      </c>
      <c r="H162" s="23" t="s">
        <v>129</v>
      </c>
      <c r="I162" s="23" t="s">
        <v>457</v>
      </c>
      <c r="J162" s="23" t="s">
        <v>246</v>
      </c>
      <c r="K162" s="23">
        <v>0</v>
      </c>
      <c r="L162" s="23">
        <v>0</v>
      </c>
      <c r="M162" s="23">
        <v>400</v>
      </c>
      <c r="N162" s="135">
        <v>600</v>
      </c>
      <c r="O162" s="23" t="s">
        <v>31</v>
      </c>
      <c r="P162" s="23">
        <f t="shared" si="8"/>
        <v>1200</v>
      </c>
      <c r="Q162" s="217">
        <f t="shared" si="7"/>
        <v>0.5</v>
      </c>
      <c r="R162" s="126" t="e">
        <f>VLOOKUP(G162,#REF!,11,0)*Q162</f>
        <v>#REF!</v>
      </c>
      <c r="S162" s="23" t="s">
        <v>247</v>
      </c>
      <c r="T162" s="23" t="s">
        <v>248</v>
      </c>
      <c r="U162" s="23" t="s">
        <v>31</v>
      </c>
      <c r="V162" s="23" t="s">
        <v>31</v>
      </c>
      <c r="W162" s="23" t="s">
        <v>31</v>
      </c>
      <c r="X162" s="23" t="s">
        <v>31</v>
      </c>
      <c r="Y162" s="23" t="s">
        <v>31</v>
      </c>
      <c r="Z162" s="23" t="s">
        <v>31</v>
      </c>
      <c r="AA162" s="23" t="s">
        <v>31</v>
      </c>
      <c r="AB162" s="23" t="s">
        <v>269</v>
      </c>
      <c r="AC162" s="187"/>
      <c r="AD162" s="187">
        <v>3</v>
      </c>
      <c r="AE162" s="187" t="s">
        <v>402</v>
      </c>
      <c r="AF162" s="187"/>
      <c r="AG162" s="187"/>
      <c r="AH162" s="123" t="str">
        <f>IF(AG162=1,'BU FACILITIES'!$G$24,"")</f>
        <v/>
      </c>
      <c r="AI162" s="187"/>
      <c r="AJ162" s="196"/>
      <c r="AK162" s="120">
        <f>AJ162*'BU FACILITIES'!$G$21</f>
        <v>0</v>
      </c>
      <c r="AL162" s="196">
        <v>0</v>
      </c>
      <c r="AM162" s="121">
        <f>PRODUCT( AL162,'BU FACILITIES'!$G$22)</f>
        <v>0</v>
      </c>
      <c r="AN162" s="187"/>
      <c r="AO162" s="187"/>
      <c r="AP162" s="125" t="str">
        <f>IF(AO162=1,'BU FACILITIES'!$G$23,"")</f>
        <v/>
      </c>
      <c r="AQ162" s="187"/>
      <c r="AR162" s="187"/>
      <c r="AS162" s="122" t="str">
        <f>IF(AR162=300,AQ162*'BU FACILITIES'!$G$4, IF(AND(AR162&gt;300,AR162&lt;=500), AQ162*'BU FACILITIES'!$G$5, IF(AND(AR162&gt;500,AR162&lt;=1250), AQ162*'BU FACILITIES'!$G$6, IF(AND(AR162&gt;1250,AR162&lt;=2000),AQ162*'BU FACILITIES'!$G$7, ""))))</f>
        <v/>
      </c>
      <c r="AT162" s="187"/>
      <c r="AU162" s="187"/>
      <c r="AV162" s="122" t="str">
        <f>IF(AU162=100,AT162*'BU FACILITIES'!$G$8, IF(AND(AU162&gt;100,AU162&lt;=500), AT162*'BU FACILITIES'!$G$9, IF(AND(AU162&gt;500,AU162&lt;=800), AT162*'BU FACILITIES'!$G$10, IF(AND(AU162&gt;800,AU162&lt;=1000),AT162*'BU FACILITIES'!$G$11, IF(AND(AU162&gt;1000,AU162&lt;=1400),AT162*'BU FACILITIES'!$G$12, IF(AND(AU162&gt;1400,AU162&lt;=2000),AT162*'BU FACILITIES'!$G$13,""))))))</f>
        <v/>
      </c>
      <c r="AW162" s="187"/>
      <c r="AX162" s="187"/>
      <c r="AY162" s="122" t="str">
        <f>IF(AX162=30,AW162*'BU FACILITIES'!$G$14, IF(AX162=45, AW162*'BU FACILITIES'!$G$15, IF(AX162=450, AW162*'BU FACILITIES'!$G$16, "")))</f>
        <v/>
      </c>
      <c r="AZ162" s="187"/>
      <c r="BA162" s="187"/>
      <c r="BB162" s="187" t="str">
        <f>IF(AND(BA162&gt;=1,BA162&lt;=5),'BU FACILITIES'!$G$17, IF(AND(BA162&gt;5, BA162&lt;=10), 'BU FACILITIES'!$G$18, IF(AND(BA162&gt;10,BA162&lt;=20),'BU FACILITIES'!$G$19,"")))</f>
        <v/>
      </c>
      <c r="BC162" s="187"/>
      <c r="BD162" s="195" t="str">
        <f>IF(AND(AZ162="Modificar ductería de AA",BC162=1), 'BU FACILITIES'!$G$20, "")</f>
        <v/>
      </c>
    </row>
    <row r="163" spans="1:56" s="3" customFormat="1" ht="12.75" hidden="1" x14ac:dyDescent="0.2">
      <c r="A163" s="24" t="s">
        <v>241</v>
      </c>
      <c r="B163" s="23" t="s">
        <v>242</v>
      </c>
      <c r="C163" s="23" t="s">
        <v>243</v>
      </c>
      <c r="D163" s="38" t="s">
        <v>352</v>
      </c>
      <c r="E163" s="23" t="s">
        <v>245</v>
      </c>
      <c r="F163" s="23">
        <v>2023</v>
      </c>
      <c r="G163" s="25" t="s">
        <v>114</v>
      </c>
      <c r="H163" s="23" t="s">
        <v>66</v>
      </c>
      <c r="I163" s="23" t="s">
        <v>457</v>
      </c>
      <c r="J163" s="23" t="s">
        <v>246</v>
      </c>
      <c r="K163" s="23">
        <v>0</v>
      </c>
      <c r="L163" s="23">
        <v>0</v>
      </c>
      <c r="M163" s="23">
        <v>400</v>
      </c>
      <c r="N163" s="135">
        <v>600</v>
      </c>
      <c r="O163" s="23" t="s">
        <v>31</v>
      </c>
      <c r="P163" s="23">
        <f t="shared" si="8"/>
        <v>4650</v>
      </c>
      <c r="Q163" s="217">
        <f t="shared" si="7"/>
        <v>0.12903225806451613</v>
      </c>
      <c r="R163" s="126" t="e">
        <f>VLOOKUP(G163,#REF!,11,0)*Q163</f>
        <v>#REF!</v>
      </c>
      <c r="S163" s="23" t="s">
        <v>247</v>
      </c>
      <c r="T163" s="23" t="s">
        <v>248</v>
      </c>
      <c r="U163" s="23" t="s">
        <v>31</v>
      </c>
      <c r="V163" s="23" t="s">
        <v>31</v>
      </c>
      <c r="W163" s="23" t="s">
        <v>31</v>
      </c>
      <c r="X163" s="23" t="s">
        <v>31</v>
      </c>
      <c r="Y163" s="23" t="s">
        <v>31</v>
      </c>
      <c r="Z163" s="23" t="s">
        <v>31</v>
      </c>
      <c r="AA163" s="23" t="s">
        <v>31</v>
      </c>
      <c r="AB163" s="23" t="s">
        <v>269</v>
      </c>
      <c r="AC163" s="187"/>
      <c r="AD163" s="187">
        <v>4</v>
      </c>
      <c r="AE163" s="187" t="s">
        <v>402</v>
      </c>
      <c r="AF163" s="187"/>
      <c r="AG163" s="187"/>
      <c r="AH163" s="123" t="str">
        <f>IF(AG163=1,'BU FACILITIES'!$G$24,"")</f>
        <v/>
      </c>
      <c r="AI163" s="187"/>
      <c r="AJ163" s="196"/>
      <c r="AK163" s="120">
        <f>AJ163*'BU FACILITIES'!$G$21</f>
        <v>0</v>
      </c>
      <c r="AL163" s="196">
        <v>0</v>
      </c>
      <c r="AM163" s="121">
        <f>PRODUCT( AL163,'BU FACILITIES'!$G$22)</f>
        <v>0</v>
      </c>
      <c r="AN163" s="187"/>
      <c r="AO163" s="187"/>
      <c r="AP163" s="125" t="str">
        <f>IF(AO163=1,'BU FACILITIES'!$G$23,"")</f>
        <v/>
      </c>
      <c r="AQ163" s="187"/>
      <c r="AR163" s="187"/>
      <c r="AS163" s="122" t="str">
        <f>IF(AR163=300,AQ163*'BU FACILITIES'!$G$4, IF(AND(AR163&gt;300,AR163&lt;=500), AQ163*'BU FACILITIES'!$G$5, IF(AND(AR163&gt;500,AR163&lt;=1250), AQ163*'BU FACILITIES'!$G$6, IF(AND(AR163&gt;1250,AR163&lt;=2000),AQ163*'BU FACILITIES'!$G$7, ""))))</f>
        <v/>
      </c>
      <c r="AT163" s="187"/>
      <c r="AU163" s="187"/>
      <c r="AV163" s="122" t="str">
        <f>IF(AU163=100,AT163*'BU FACILITIES'!$G$8, IF(AND(AU163&gt;100,AU163&lt;=500), AT163*'BU FACILITIES'!$G$9, IF(AND(AU163&gt;500,AU163&lt;=800), AT163*'BU FACILITIES'!$G$10, IF(AND(AU163&gt;800,AU163&lt;=1000),AT163*'BU FACILITIES'!$G$11, IF(AND(AU163&gt;1000,AU163&lt;=1400),AT163*'BU FACILITIES'!$G$12, IF(AND(AU163&gt;1400,AU163&lt;=2000),AT163*'BU FACILITIES'!$G$13,""))))))</f>
        <v/>
      </c>
      <c r="AW163" s="187"/>
      <c r="AX163" s="187"/>
      <c r="AY163" s="122" t="str">
        <f>IF(AX163=30,AW163*'BU FACILITIES'!$G$14, IF(AX163=45, AW163*'BU FACILITIES'!$G$15, IF(AX163=450, AW163*'BU FACILITIES'!$G$16, "")))</f>
        <v/>
      </c>
      <c r="AZ163" s="187"/>
      <c r="BA163" s="187"/>
      <c r="BB163" s="187" t="str">
        <f>IF(AND(BA163&gt;=1,BA163&lt;=5),'BU FACILITIES'!$G$17, IF(AND(BA163&gt;5, BA163&lt;=10), 'BU FACILITIES'!$G$18, IF(AND(BA163&gt;10,BA163&lt;=20),'BU FACILITIES'!$G$19,"")))</f>
        <v/>
      </c>
      <c r="BC163" s="187"/>
      <c r="BD163" s="195" t="str">
        <f>IF(AND(AZ163="Modificar ductería de AA",BC163=1), 'BU FACILITIES'!$G$20, "")</f>
        <v/>
      </c>
    </row>
    <row r="164" spans="1:56" s="3" customFormat="1" ht="12.75" hidden="1" x14ac:dyDescent="0.2">
      <c r="A164" s="24" t="s">
        <v>241</v>
      </c>
      <c r="B164" s="23" t="s">
        <v>242</v>
      </c>
      <c r="C164" s="23" t="s">
        <v>243</v>
      </c>
      <c r="D164" s="38" t="s">
        <v>352</v>
      </c>
      <c r="E164" s="23" t="s">
        <v>245</v>
      </c>
      <c r="F164" s="23">
        <v>2023</v>
      </c>
      <c r="G164" s="204" t="s">
        <v>43</v>
      </c>
      <c r="H164" s="24" t="s">
        <v>66</v>
      </c>
      <c r="I164" s="23" t="s">
        <v>457</v>
      </c>
      <c r="J164" s="23" t="s">
        <v>246</v>
      </c>
      <c r="K164" s="23">
        <v>0</v>
      </c>
      <c r="L164" s="23">
        <v>0</v>
      </c>
      <c r="M164" s="23">
        <v>400</v>
      </c>
      <c r="N164" s="135">
        <v>600</v>
      </c>
      <c r="O164" s="23" t="s">
        <v>31</v>
      </c>
      <c r="P164" s="23">
        <f t="shared" si="8"/>
        <v>4050</v>
      </c>
      <c r="Q164" s="217">
        <f t="shared" si="7"/>
        <v>0.14814814814814814</v>
      </c>
      <c r="R164" s="126" t="e">
        <f>VLOOKUP(G164,#REF!,11,0)*Q164</f>
        <v>#REF!</v>
      </c>
      <c r="S164" s="23" t="s">
        <v>247</v>
      </c>
      <c r="T164" s="23" t="s">
        <v>248</v>
      </c>
      <c r="U164" s="23" t="s">
        <v>31</v>
      </c>
      <c r="V164" s="23" t="s">
        <v>31</v>
      </c>
      <c r="W164" s="23" t="s">
        <v>31</v>
      </c>
      <c r="X164" s="23" t="s">
        <v>31</v>
      </c>
      <c r="Y164" s="23" t="s">
        <v>31</v>
      </c>
      <c r="Z164" s="23" t="s">
        <v>31</v>
      </c>
      <c r="AA164" s="23" t="s">
        <v>31</v>
      </c>
      <c r="AB164" s="23" t="s">
        <v>269</v>
      </c>
      <c r="AC164" s="187"/>
      <c r="AD164" s="187">
        <v>4</v>
      </c>
      <c r="AE164" s="187" t="s">
        <v>402</v>
      </c>
      <c r="AF164" s="187"/>
      <c r="AG164" s="187"/>
      <c r="AH164" s="123" t="str">
        <f>IF(AG164=1,'BU FACILITIES'!$G$24,"")</f>
        <v/>
      </c>
      <c r="AI164" s="187"/>
      <c r="AJ164" s="196"/>
      <c r="AK164" s="120">
        <f>AJ164*'BU FACILITIES'!$G$21</f>
        <v>0</v>
      </c>
      <c r="AL164" s="196">
        <v>0</v>
      </c>
      <c r="AM164" s="121">
        <f>PRODUCT( AL164,'BU FACILITIES'!$G$22)</f>
        <v>0</v>
      </c>
      <c r="AN164" s="187"/>
      <c r="AO164" s="187"/>
      <c r="AP164" s="125" t="str">
        <f>IF(AO164=1,'BU FACILITIES'!$G$23,"")</f>
        <v/>
      </c>
      <c r="AQ164" s="187"/>
      <c r="AR164" s="187"/>
      <c r="AS164" s="122" t="str">
        <f>IF(AR164=300,AQ164*'BU FACILITIES'!$G$4, IF(AND(AR164&gt;300,AR164&lt;=500), AQ164*'BU FACILITIES'!$G$5, IF(AND(AR164&gt;500,AR164&lt;=1250), AQ164*'BU FACILITIES'!$G$6, IF(AND(AR164&gt;1250,AR164&lt;=2000),AQ164*'BU FACILITIES'!$G$7, ""))))</f>
        <v/>
      </c>
      <c r="AT164" s="187"/>
      <c r="AU164" s="187"/>
      <c r="AV164" s="122" t="str">
        <f>IF(AU164=100,AT164*'BU FACILITIES'!$G$8, IF(AND(AU164&gt;100,AU164&lt;=500), AT164*'BU FACILITIES'!$G$9, IF(AND(AU164&gt;500,AU164&lt;=800), AT164*'BU FACILITIES'!$G$10, IF(AND(AU164&gt;800,AU164&lt;=1000),AT164*'BU FACILITIES'!$G$11, IF(AND(AU164&gt;1000,AU164&lt;=1400),AT164*'BU FACILITIES'!$G$12, IF(AND(AU164&gt;1400,AU164&lt;=2000),AT164*'BU FACILITIES'!$G$13,""))))))</f>
        <v/>
      </c>
      <c r="AW164" s="187"/>
      <c r="AX164" s="187"/>
      <c r="AY164" s="122" t="str">
        <f>IF(AX164=30,AW164*'BU FACILITIES'!$G$14, IF(AX164=45, AW164*'BU FACILITIES'!$G$15, IF(AX164=450, AW164*'BU FACILITIES'!$G$16, "")))</f>
        <v/>
      </c>
      <c r="AZ164" s="187"/>
      <c r="BA164" s="187"/>
      <c r="BB164" s="187" t="str">
        <f>IF(AND(BA164&gt;=1,BA164&lt;=5),'BU FACILITIES'!$G$17, IF(AND(BA164&gt;5, BA164&lt;=10), 'BU FACILITIES'!$G$18, IF(AND(BA164&gt;10,BA164&lt;=20),'BU FACILITIES'!$G$19,"")))</f>
        <v/>
      </c>
      <c r="BC164" s="187"/>
      <c r="BD164" s="195" t="str">
        <f>IF(AND(AZ164="Modificar ductería de AA",BC164=1), 'BU FACILITIES'!$G$20, "")</f>
        <v/>
      </c>
    </row>
    <row r="165" spans="1:56" s="3" customFormat="1" ht="12.75" hidden="1" x14ac:dyDescent="0.2">
      <c r="A165" s="24" t="s">
        <v>241</v>
      </c>
      <c r="B165" s="23" t="s">
        <v>242</v>
      </c>
      <c r="C165" s="23" t="s">
        <v>243</v>
      </c>
      <c r="D165" s="38" t="s">
        <v>352</v>
      </c>
      <c r="E165" s="23" t="s">
        <v>245</v>
      </c>
      <c r="F165" s="23">
        <v>2023</v>
      </c>
      <c r="G165" s="26" t="s">
        <v>37</v>
      </c>
      <c r="H165" s="24" t="s">
        <v>66</v>
      </c>
      <c r="I165" s="23" t="s">
        <v>457</v>
      </c>
      <c r="J165" s="23" t="s">
        <v>246</v>
      </c>
      <c r="K165" s="23">
        <v>0</v>
      </c>
      <c r="L165" s="23">
        <v>0</v>
      </c>
      <c r="M165" s="23">
        <v>400</v>
      </c>
      <c r="N165" s="135">
        <v>600</v>
      </c>
      <c r="O165" s="23" t="s">
        <v>31</v>
      </c>
      <c r="P165" s="23">
        <f t="shared" si="8"/>
        <v>1800</v>
      </c>
      <c r="Q165" s="217">
        <f t="shared" si="7"/>
        <v>0.33333333333333331</v>
      </c>
      <c r="R165" s="126" t="e">
        <f>VLOOKUP(G165,#REF!,11,0)*Q165</f>
        <v>#REF!</v>
      </c>
      <c r="S165" s="23" t="s">
        <v>247</v>
      </c>
      <c r="T165" s="23" t="s">
        <v>248</v>
      </c>
      <c r="U165" s="23" t="s">
        <v>31</v>
      </c>
      <c r="V165" s="23" t="s">
        <v>31</v>
      </c>
      <c r="W165" s="23" t="s">
        <v>31</v>
      </c>
      <c r="X165" s="23" t="s">
        <v>31</v>
      </c>
      <c r="Y165" s="23" t="s">
        <v>31</v>
      </c>
      <c r="Z165" s="23" t="s">
        <v>31</v>
      </c>
      <c r="AA165" s="23" t="s">
        <v>31</v>
      </c>
      <c r="AB165" s="23" t="s">
        <v>269</v>
      </c>
      <c r="AC165" s="187"/>
      <c r="AD165" s="187">
        <v>4</v>
      </c>
      <c r="AE165" s="187" t="s">
        <v>402</v>
      </c>
      <c r="AF165" s="187"/>
      <c r="AG165" s="187"/>
      <c r="AH165" s="123" t="str">
        <f>IF(AG165=1,'BU FACILITIES'!$G$24,"")</f>
        <v/>
      </c>
      <c r="AI165" s="187"/>
      <c r="AJ165" s="196"/>
      <c r="AK165" s="120">
        <f>AJ165*'BU FACILITIES'!$G$21</f>
        <v>0</v>
      </c>
      <c r="AL165" s="196">
        <v>0</v>
      </c>
      <c r="AM165" s="121">
        <f>PRODUCT( AL165,'BU FACILITIES'!$G$22)</f>
        <v>0</v>
      </c>
      <c r="AN165" s="187"/>
      <c r="AO165" s="187"/>
      <c r="AP165" s="125" t="str">
        <f>IF(AO165=1,'BU FACILITIES'!$G$23,"")</f>
        <v/>
      </c>
      <c r="AQ165" s="187"/>
      <c r="AR165" s="187"/>
      <c r="AS165" s="122" t="str">
        <f>IF(AR165=300,AQ165*'BU FACILITIES'!$G$4, IF(AND(AR165&gt;300,AR165&lt;=500), AQ165*'BU FACILITIES'!$G$5, IF(AND(AR165&gt;500,AR165&lt;=1250), AQ165*'BU FACILITIES'!$G$6, IF(AND(AR165&gt;1250,AR165&lt;=2000),AQ165*'BU FACILITIES'!$G$7, ""))))</f>
        <v/>
      </c>
      <c r="AT165" s="187"/>
      <c r="AU165" s="187"/>
      <c r="AV165" s="122" t="str">
        <f>IF(AU165=100,AT165*'BU FACILITIES'!$G$8, IF(AND(AU165&gt;100,AU165&lt;=500), AT165*'BU FACILITIES'!$G$9, IF(AND(AU165&gt;500,AU165&lt;=800), AT165*'BU FACILITIES'!$G$10, IF(AND(AU165&gt;800,AU165&lt;=1000),AT165*'BU FACILITIES'!$G$11, IF(AND(AU165&gt;1000,AU165&lt;=1400),AT165*'BU FACILITIES'!$G$12, IF(AND(AU165&gt;1400,AU165&lt;=2000),AT165*'BU FACILITIES'!$G$13,""))))))</f>
        <v/>
      </c>
      <c r="AW165" s="187"/>
      <c r="AX165" s="187"/>
      <c r="AY165" s="122" t="str">
        <f>IF(AX165=30,AW165*'BU FACILITIES'!$G$14, IF(AX165=45, AW165*'BU FACILITIES'!$G$15, IF(AX165=450, AW165*'BU FACILITIES'!$G$16, "")))</f>
        <v/>
      </c>
      <c r="AZ165" s="187"/>
      <c r="BA165" s="187"/>
      <c r="BB165" s="187" t="str">
        <f>IF(AND(BA165&gt;=1,BA165&lt;=5),'BU FACILITIES'!$G$17, IF(AND(BA165&gt;5, BA165&lt;=10), 'BU FACILITIES'!$G$18, IF(AND(BA165&gt;10,BA165&lt;=20),'BU FACILITIES'!$G$19,"")))</f>
        <v/>
      </c>
      <c r="BC165" s="187"/>
      <c r="BD165" s="195" t="str">
        <f>IF(AND(AZ165="Modificar ductería de AA",BC165=1), 'BU FACILITIES'!$G$20, "")</f>
        <v/>
      </c>
    </row>
    <row r="166" spans="1:56" s="3" customFormat="1" ht="12.75" hidden="1" x14ac:dyDescent="0.2">
      <c r="A166" s="24" t="s">
        <v>241</v>
      </c>
      <c r="B166" s="23" t="s">
        <v>242</v>
      </c>
      <c r="C166" s="23" t="s">
        <v>243</v>
      </c>
      <c r="D166" s="38" t="s">
        <v>352</v>
      </c>
      <c r="E166" s="23" t="s">
        <v>245</v>
      </c>
      <c r="F166" s="23">
        <v>2023</v>
      </c>
      <c r="G166" s="23" t="s">
        <v>517</v>
      </c>
      <c r="H166" s="24" t="s">
        <v>66</v>
      </c>
      <c r="I166" s="23" t="s">
        <v>457</v>
      </c>
      <c r="J166" s="23" t="s">
        <v>246</v>
      </c>
      <c r="K166" s="23">
        <v>0</v>
      </c>
      <c r="L166" s="23">
        <v>0</v>
      </c>
      <c r="M166" s="23">
        <v>400</v>
      </c>
      <c r="N166" s="135">
        <v>600</v>
      </c>
      <c r="O166" s="23" t="s">
        <v>31</v>
      </c>
      <c r="P166" s="23">
        <f t="shared" si="8"/>
        <v>3450</v>
      </c>
      <c r="Q166" s="217">
        <f t="shared" si="7"/>
        <v>0.17391304347826086</v>
      </c>
      <c r="R166" s="126" t="e">
        <f>VLOOKUP(G166,#REF!,11,0)*Q166</f>
        <v>#REF!</v>
      </c>
      <c r="S166" s="23" t="s">
        <v>247</v>
      </c>
      <c r="T166" s="23" t="s">
        <v>248</v>
      </c>
      <c r="U166" s="23" t="s">
        <v>31</v>
      </c>
      <c r="V166" s="23" t="s">
        <v>31</v>
      </c>
      <c r="W166" s="23" t="s">
        <v>31</v>
      </c>
      <c r="X166" s="23" t="s">
        <v>31</v>
      </c>
      <c r="Y166" s="23" t="s">
        <v>31</v>
      </c>
      <c r="Z166" s="23" t="s">
        <v>31</v>
      </c>
      <c r="AA166" s="23" t="s">
        <v>31</v>
      </c>
      <c r="AB166" s="23" t="s">
        <v>269</v>
      </c>
      <c r="AC166" s="187"/>
      <c r="AD166" s="187">
        <v>2</v>
      </c>
      <c r="AE166" s="187" t="s">
        <v>402</v>
      </c>
      <c r="AF166" s="187"/>
      <c r="AG166" s="187"/>
      <c r="AH166" s="123" t="str">
        <f>IF(AG166=1,'BU FACILITIES'!$G$24,"")</f>
        <v/>
      </c>
      <c r="AI166" s="187"/>
      <c r="AJ166" s="196"/>
      <c r="AK166" s="120">
        <f>AJ166*'BU FACILITIES'!$G$21</f>
        <v>0</v>
      </c>
      <c r="AL166" s="196">
        <v>0</v>
      </c>
      <c r="AM166" s="121">
        <f>PRODUCT( AL166,'BU FACILITIES'!$G$22)</f>
        <v>0</v>
      </c>
      <c r="AN166" s="187"/>
      <c r="AO166" s="187"/>
      <c r="AP166" s="125" t="str">
        <f>IF(AO166=1,'BU FACILITIES'!$G$23,"")</f>
        <v/>
      </c>
      <c r="AQ166" s="187"/>
      <c r="AR166" s="187"/>
      <c r="AS166" s="122" t="str">
        <f>IF(AR166=300,AQ166*'BU FACILITIES'!$G$4, IF(AND(AR166&gt;300,AR166&lt;=500), AQ166*'BU FACILITIES'!$G$5, IF(AND(AR166&gt;500,AR166&lt;=1250), AQ166*'BU FACILITIES'!$G$6, IF(AND(AR166&gt;1250,AR166&lt;=2000),AQ166*'BU FACILITIES'!$G$7, ""))))</f>
        <v/>
      </c>
      <c r="AT166" s="187"/>
      <c r="AU166" s="187"/>
      <c r="AV166" s="122" t="str">
        <f>IF(AU166=100,AT166*'BU FACILITIES'!$G$8, IF(AND(AU166&gt;100,AU166&lt;=500), AT166*'BU FACILITIES'!$G$9, IF(AND(AU166&gt;500,AU166&lt;=800), AT166*'BU FACILITIES'!$G$10, IF(AND(AU166&gt;800,AU166&lt;=1000),AT166*'BU FACILITIES'!$G$11, IF(AND(AU166&gt;1000,AU166&lt;=1400),AT166*'BU FACILITIES'!$G$12, IF(AND(AU166&gt;1400,AU166&lt;=2000),AT166*'BU FACILITIES'!$G$13,""))))))</f>
        <v/>
      </c>
      <c r="AW166" s="187"/>
      <c r="AX166" s="187"/>
      <c r="AY166" s="122" t="str">
        <f>IF(AX166=30,AW166*'BU FACILITIES'!$G$14, IF(AX166=45, AW166*'BU FACILITIES'!$G$15, IF(AX166=450, AW166*'BU FACILITIES'!$G$16, "")))</f>
        <v/>
      </c>
      <c r="AZ166" s="187"/>
      <c r="BA166" s="187"/>
      <c r="BB166" s="187" t="str">
        <f>IF(AND(BA166&gt;=1,BA166&lt;=5),'BU FACILITIES'!$G$17, IF(AND(BA166&gt;5, BA166&lt;=10), 'BU FACILITIES'!$G$18, IF(AND(BA166&gt;10,BA166&lt;=20),'BU FACILITIES'!$G$19,"")))</f>
        <v/>
      </c>
      <c r="BC166" s="187"/>
      <c r="BD166" s="195" t="str">
        <f>IF(AND(AZ166="Modificar ductería de AA",BC166=1), 'BU FACILITIES'!$G$20, "")</f>
        <v/>
      </c>
    </row>
    <row r="167" spans="1:56" s="3" customFormat="1" ht="12.75" hidden="1" x14ac:dyDescent="0.2">
      <c r="A167" s="24" t="s">
        <v>241</v>
      </c>
      <c r="B167" s="23" t="s">
        <v>242</v>
      </c>
      <c r="C167" s="23" t="s">
        <v>243</v>
      </c>
      <c r="D167" s="38" t="s">
        <v>352</v>
      </c>
      <c r="E167" s="23" t="s">
        <v>245</v>
      </c>
      <c r="F167" s="23">
        <v>2023</v>
      </c>
      <c r="G167" s="26" t="s">
        <v>72</v>
      </c>
      <c r="H167" s="24" t="s">
        <v>66</v>
      </c>
      <c r="I167" s="23" t="s">
        <v>457</v>
      </c>
      <c r="J167" s="23" t="s">
        <v>246</v>
      </c>
      <c r="K167" s="23">
        <v>0</v>
      </c>
      <c r="L167" s="23">
        <v>0</v>
      </c>
      <c r="M167" s="23">
        <v>400</v>
      </c>
      <c r="N167" s="135">
        <v>600</v>
      </c>
      <c r="O167" s="23" t="s">
        <v>31</v>
      </c>
      <c r="P167" s="23">
        <f t="shared" si="8"/>
        <v>2400</v>
      </c>
      <c r="Q167" s="217">
        <f t="shared" si="7"/>
        <v>0.25</v>
      </c>
      <c r="R167" s="126" t="e">
        <f>VLOOKUP(G167,#REF!,11,0)*Q167</f>
        <v>#REF!</v>
      </c>
      <c r="S167" s="23" t="s">
        <v>247</v>
      </c>
      <c r="T167" s="23" t="s">
        <v>248</v>
      </c>
      <c r="U167" s="23" t="s">
        <v>31</v>
      </c>
      <c r="V167" s="23" t="s">
        <v>31</v>
      </c>
      <c r="W167" s="23" t="s">
        <v>31</v>
      </c>
      <c r="X167" s="23" t="s">
        <v>31</v>
      </c>
      <c r="Y167" s="23" t="s">
        <v>31</v>
      </c>
      <c r="Z167" s="23" t="s">
        <v>31</v>
      </c>
      <c r="AA167" s="23" t="s">
        <v>31</v>
      </c>
      <c r="AB167" s="23" t="s">
        <v>269</v>
      </c>
      <c r="AC167" s="187"/>
      <c r="AD167" s="187">
        <v>3</v>
      </c>
      <c r="AE167" s="187" t="s">
        <v>402</v>
      </c>
      <c r="AF167" s="187"/>
      <c r="AG167" s="187"/>
      <c r="AH167" s="123" t="str">
        <f>IF(AG167=1,'BU FACILITIES'!$G$24,"")</f>
        <v/>
      </c>
      <c r="AI167" s="187"/>
      <c r="AJ167" s="196"/>
      <c r="AK167" s="120">
        <f>AJ167*'BU FACILITIES'!$G$21</f>
        <v>0</v>
      </c>
      <c r="AL167" s="196">
        <v>0</v>
      </c>
      <c r="AM167" s="121">
        <f>PRODUCT( AL167,'BU FACILITIES'!$G$22)</f>
        <v>0</v>
      </c>
      <c r="AN167" s="187"/>
      <c r="AO167" s="187"/>
      <c r="AP167" s="125" t="str">
        <f>IF(AO167=1,'BU FACILITIES'!$G$23,"")</f>
        <v/>
      </c>
      <c r="AQ167" s="187"/>
      <c r="AR167" s="187"/>
      <c r="AS167" s="122" t="str">
        <f>IF(AR167=300,AQ167*'BU FACILITIES'!$G$4, IF(AND(AR167&gt;300,AR167&lt;=500), AQ167*'BU FACILITIES'!$G$5, IF(AND(AR167&gt;500,AR167&lt;=1250), AQ167*'BU FACILITIES'!$G$6, IF(AND(AR167&gt;1250,AR167&lt;=2000),AQ167*'BU FACILITIES'!$G$7, ""))))</f>
        <v/>
      </c>
      <c r="AT167" s="187"/>
      <c r="AU167" s="187"/>
      <c r="AV167" s="122" t="str">
        <f>IF(AU167=100,AT167*'BU FACILITIES'!$G$8, IF(AND(AU167&gt;100,AU167&lt;=500), AT167*'BU FACILITIES'!$G$9, IF(AND(AU167&gt;500,AU167&lt;=800), AT167*'BU FACILITIES'!$G$10, IF(AND(AU167&gt;800,AU167&lt;=1000),AT167*'BU FACILITIES'!$G$11, IF(AND(AU167&gt;1000,AU167&lt;=1400),AT167*'BU FACILITIES'!$G$12, IF(AND(AU167&gt;1400,AU167&lt;=2000),AT167*'BU FACILITIES'!$G$13,""))))))</f>
        <v/>
      </c>
      <c r="AW167" s="187"/>
      <c r="AX167" s="187"/>
      <c r="AY167" s="122" t="str">
        <f>IF(AX167=30,AW167*'BU FACILITIES'!$G$14, IF(AX167=45, AW167*'BU FACILITIES'!$G$15, IF(AX167=450, AW167*'BU FACILITIES'!$G$16, "")))</f>
        <v/>
      </c>
      <c r="AZ167" s="187"/>
      <c r="BA167" s="187"/>
      <c r="BB167" s="187" t="str">
        <f>IF(AND(BA167&gt;=1,BA167&lt;=5),'BU FACILITIES'!$G$17, IF(AND(BA167&gt;5, BA167&lt;=10), 'BU FACILITIES'!$G$18, IF(AND(BA167&gt;10,BA167&lt;=20),'BU FACILITIES'!$G$19,"")))</f>
        <v/>
      </c>
      <c r="BC167" s="187"/>
      <c r="BD167" s="195" t="str">
        <f>IF(AND(AZ167="Modificar ductería de AA",BC167=1), 'BU FACILITIES'!$G$20, "")</f>
        <v/>
      </c>
    </row>
    <row r="168" spans="1:56" s="3" customFormat="1" ht="12.75" hidden="1" x14ac:dyDescent="0.2">
      <c r="A168" s="24" t="s">
        <v>241</v>
      </c>
      <c r="B168" s="23" t="s">
        <v>242</v>
      </c>
      <c r="C168" s="23" t="s">
        <v>243</v>
      </c>
      <c r="D168" s="38" t="s">
        <v>352</v>
      </c>
      <c r="E168" s="23" t="s">
        <v>245</v>
      </c>
      <c r="F168" s="23">
        <v>2023</v>
      </c>
      <c r="G168" s="26" t="s">
        <v>291</v>
      </c>
      <c r="H168" s="23" t="s">
        <v>66</v>
      </c>
      <c r="I168" s="23" t="s">
        <v>457</v>
      </c>
      <c r="J168" s="23" t="s">
        <v>246</v>
      </c>
      <c r="K168" s="23">
        <v>0</v>
      </c>
      <c r="L168" s="23">
        <v>0</v>
      </c>
      <c r="M168" s="23">
        <v>400</v>
      </c>
      <c r="N168" s="131">
        <v>600</v>
      </c>
      <c r="O168" s="23" t="s">
        <v>31</v>
      </c>
      <c r="P168" s="23">
        <f t="shared" si="8"/>
        <v>1200</v>
      </c>
      <c r="Q168" s="217">
        <f t="shared" si="7"/>
        <v>0.5</v>
      </c>
      <c r="R168" s="126" t="e">
        <f>VLOOKUP(G168,#REF!,11,0)*Q168</f>
        <v>#REF!</v>
      </c>
      <c r="S168" s="23" t="s">
        <v>247</v>
      </c>
      <c r="T168" s="23" t="s">
        <v>248</v>
      </c>
      <c r="U168" s="23" t="s">
        <v>31</v>
      </c>
      <c r="V168" s="23" t="s">
        <v>31</v>
      </c>
      <c r="W168" s="23" t="s">
        <v>31</v>
      </c>
      <c r="X168" s="23" t="s">
        <v>31</v>
      </c>
      <c r="Y168" s="23" t="s">
        <v>31</v>
      </c>
      <c r="Z168" s="23" t="s">
        <v>31</v>
      </c>
      <c r="AA168" s="23" t="s">
        <v>31</v>
      </c>
      <c r="AB168" s="23" t="s">
        <v>269</v>
      </c>
      <c r="AC168" s="187"/>
      <c r="AD168" s="187"/>
      <c r="AE168" s="187" t="s">
        <v>402</v>
      </c>
      <c r="AF168" s="187"/>
      <c r="AG168" s="187"/>
      <c r="AH168" s="123" t="str">
        <f>IF(AG168=1,'BU FACILITIES'!$G$24,"")</f>
        <v/>
      </c>
      <c r="AI168" s="187"/>
      <c r="AJ168" s="196"/>
      <c r="AK168" s="120">
        <f>AJ168*'BU FACILITIES'!$G$21</f>
        <v>0</v>
      </c>
      <c r="AL168" s="196">
        <v>0</v>
      </c>
      <c r="AM168" s="121">
        <f>PRODUCT( AL168,'BU FACILITIES'!$G$22)</f>
        <v>0</v>
      </c>
      <c r="AN168" s="187"/>
      <c r="AO168" s="187"/>
      <c r="AP168" s="125" t="str">
        <f>IF(AO168=1,'BU FACILITIES'!$G$23,"")</f>
        <v/>
      </c>
      <c r="AQ168" s="187"/>
      <c r="AR168" s="187"/>
      <c r="AS168" s="122" t="str">
        <f>IF(AR168=300,AQ168*'BU FACILITIES'!$G$4, IF(AND(AR168&gt;300,AR168&lt;=500), AQ168*'BU FACILITIES'!$G$5, IF(AND(AR168&gt;500,AR168&lt;=1250), AQ168*'BU FACILITIES'!$G$6, IF(AND(AR168&gt;1250,AR168&lt;=2000),AQ168*'BU FACILITIES'!$G$7, ""))))</f>
        <v/>
      </c>
      <c r="AT168" s="187"/>
      <c r="AU168" s="187"/>
      <c r="AV168" s="122" t="str">
        <f>IF(AU168=100,AT168*'BU FACILITIES'!$G$8, IF(AND(AU168&gt;100,AU168&lt;=500), AT168*'BU FACILITIES'!$G$9, IF(AND(AU168&gt;500,AU168&lt;=800), AT168*'BU FACILITIES'!$G$10, IF(AND(AU168&gt;800,AU168&lt;=1000),AT168*'BU FACILITIES'!$G$11, IF(AND(AU168&gt;1000,AU168&lt;=1400),AT168*'BU FACILITIES'!$G$12, IF(AND(AU168&gt;1400,AU168&lt;=2000),AT168*'BU FACILITIES'!$G$13,""))))))</f>
        <v/>
      </c>
      <c r="AW168" s="187"/>
      <c r="AX168" s="187"/>
      <c r="AY168" s="122" t="str">
        <f>IF(AX168=30,AW168*'BU FACILITIES'!$G$14, IF(AX168=45, AW168*'BU FACILITIES'!$G$15, IF(AX168=450, AW168*'BU FACILITIES'!$G$16, "")))</f>
        <v/>
      </c>
      <c r="AZ168" s="187"/>
      <c r="BA168" s="187"/>
      <c r="BB168" s="187" t="str">
        <f>IF(AND(BA168&gt;=1,BA168&lt;=5),'BU FACILITIES'!$G$17, IF(AND(BA168&gt;5, BA168&lt;=10), 'BU FACILITIES'!$G$18, IF(AND(BA168&gt;10,BA168&lt;=20),'BU FACILITIES'!$G$19,"")))</f>
        <v/>
      </c>
      <c r="BC168" s="187"/>
      <c r="BD168" s="195" t="str">
        <f>IF(AND(AZ168="Modificar ductería de AA",BC168=1), 'BU FACILITIES'!$G$20, "")</f>
        <v/>
      </c>
    </row>
    <row r="169" spans="1:56" s="3" customFormat="1" ht="12.75" hidden="1" x14ac:dyDescent="0.2">
      <c r="A169" s="24" t="s">
        <v>241</v>
      </c>
      <c r="B169" s="23" t="s">
        <v>242</v>
      </c>
      <c r="C169" s="23" t="s">
        <v>243</v>
      </c>
      <c r="D169" s="38" t="s">
        <v>352</v>
      </c>
      <c r="E169" s="23" t="s">
        <v>245</v>
      </c>
      <c r="F169" s="23">
        <v>2023</v>
      </c>
      <c r="G169" s="26" t="s">
        <v>129</v>
      </c>
      <c r="H169" s="23" t="s">
        <v>129</v>
      </c>
      <c r="I169" s="23" t="s">
        <v>457</v>
      </c>
      <c r="J169" s="23" t="s">
        <v>246</v>
      </c>
      <c r="K169" s="23">
        <v>0</v>
      </c>
      <c r="L169" s="23">
        <v>0</v>
      </c>
      <c r="M169" s="23">
        <v>400</v>
      </c>
      <c r="N169" s="135">
        <v>600</v>
      </c>
      <c r="O169" s="23" t="s">
        <v>31</v>
      </c>
      <c r="P169" s="23">
        <f t="shared" si="8"/>
        <v>1200</v>
      </c>
      <c r="Q169" s="217">
        <f t="shared" si="7"/>
        <v>0.5</v>
      </c>
      <c r="R169" s="126" t="e">
        <f>VLOOKUP(G169,#REF!,11,0)*Q169</f>
        <v>#REF!</v>
      </c>
      <c r="S169" s="23" t="s">
        <v>247</v>
      </c>
      <c r="T169" s="23" t="s">
        <v>248</v>
      </c>
      <c r="U169" s="23" t="s">
        <v>31</v>
      </c>
      <c r="V169" s="23" t="s">
        <v>31</v>
      </c>
      <c r="W169" s="23" t="s">
        <v>31</v>
      </c>
      <c r="X169" s="23" t="s">
        <v>31</v>
      </c>
      <c r="Y169" s="23" t="s">
        <v>31</v>
      </c>
      <c r="Z169" s="23" t="s">
        <v>31</v>
      </c>
      <c r="AA169" s="23" t="s">
        <v>31</v>
      </c>
      <c r="AB169" s="23" t="s">
        <v>269</v>
      </c>
      <c r="AC169" s="187"/>
      <c r="AD169" s="187">
        <v>3</v>
      </c>
      <c r="AE169" s="187" t="s">
        <v>402</v>
      </c>
      <c r="AF169" s="187"/>
      <c r="AG169" s="187"/>
      <c r="AH169" s="123" t="str">
        <f>IF(AG169=1,'BU FACILITIES'!$G$24,"")</f>
        <v/>
      </c>
      <c r="AI169" s="187"/>
      <c r="AJ169" s="196"/>
      <c r="AK169" s="120">
        <f>AJ169*'BU FACILITIES'!$G$21</f>
        <v>0</v>
      </c>
      <c r="AL169" s="196">
        <v>0</v>
      </c>
      <c r="AM169" s="121">
        <f>PRODUCT( AL169,'BU FACILITIES'!$G$22)</f>
        <v>0</v>
      </c>
      <c r="AN169" s="187"/>
      <c r="AO169" s="187"/>
      <c r="AP169" s="125" t="str">
        <f>IF(AO169=1,'BU FACILITIES'!$G$23,"")</f>
        <v/>
      </c>
      <c r="AQ169" s="187"/>
      <c r="AR169" s="187"/>
      <c r="AS169" s="122" t="str">
        <f>IF(AR169=300,AQ169*'BU FACILITIES'!$G$4, IF(AND(AR169&gt;300,AR169&lt;=500), AQ169*'BU FACILITIES'!$G$5, IF(AND(AR169&gt;500,AR169&lt;=1250), AQ169*'BU FACILITIES'!$G$6, IF(AND(AR169&gt;1250,AR169&lt;=2000),AQ169*'BU FACILITIES'!$G$7, ""))))</f>
        <v/>
      </c>
      <c r="AT169" s="187"/>
      <c r="AU169" s="187"/>
      <c r="AV169" s="122" t="str">
        <f>IF(AU169=100,AT169*'BU FACILITIES'!$G$8, IF(AND(AU169&gt;100,AU169&lt;=500), AT169*'BU FACILITIES'!$G$9, IF(AND(AU169&gt;500,AU169&lt;=800), AT169*'BU FACILITIES'!$G$10, IF(AND(AU169&gt;800,AU169&lt;=1000),AT169*'BU FACILITIES'!$G$11, IF(AND(AU169&gt;1000,AU169&lt;=1400),AT169*'BU FACILITIES'!$G$12, IF(AND(AU169&gt;1400,AU169&lt;=2000),AT169*'BU FACILITIES'!$G$13,""))))))</f>
        <v/>
      </c>
      <c r="AW169" s="187"/>
      <c r="AX169" s="187"/>
      <c r="AY169" s="122" t="str">
        <f>IF(AX169=30,AW169*'BU FACILITIES'!$G$14, IF(AX169=45, AW169*'BU FACILITIES'!$G$15, IF(AX169=450, AW169*'BU FACILITIES'!$G$16, "")))</f>
        <v/>
      </c>
      <c r="AZ169" s="187"/>
      <c r="BA169" s="187"/>
      <c r="BB169" s="187" t="str">
        <f>IF(AND(BA169&gt;=1,BA169&lt;=5),'BU FACILITIES'!$G$17, IF(AND(BA169&gt;5, BA169&lt;=10), 'BU FACILITIES'!$G$18, IF(AND(BA169&gt;10,BA169&lt;=20),'BU FACILITIES'!$G$19,"")))</f>
        <v/>
      </c>
      <c r="BC169" s="187"/>
      <c r="BD169" s="195" t="str">
        <f>IF(AND(AZ169="Modificar ductería de AA",BC169=1), 'BU FACILITIES'!$G$20, "")</f>
        <v/>
      </c>
    </row>
    <row r="170" spans="1:56" s="3" customFormat="1" ht="12.75" hidden="1" x14ac:dyDescent="0.2">
      <c r="A170" s="24" t="s">
        <v>241</v>
      </c>
      <c r="B170" s="23" t="s">
        <v>242</v>
      </c>
      <c r="C170" s="23" t="s">
        <v>243</v>
      </c>
      <c r="D170" s="38" t="s">
        <v>352</v>
      </c>
      <c r="E170" s="23" t="s">
        <v>245</v>
      </c>
      <c r="F170" s="23">
        <v>2023</v>
      </c>
      <c r="G170" s="23" t="s">
        <v>291</v>
      </c>
      <c r="H170" s="24" t="s">
        <v>66</v>
      </c>
      <c r="I170" s="23" t="s">
        <v>457</v>
      </c>
      <c r="J170" s="23" t="s">
        <v>246</v>
      </c>
      <c r="K170" s="23">
        <v>0</v>
      </c>
      <c r="L170" s="23">
        <v>0</v>
      </c>
      <c r="M170" s="23">
        <v>400</v>
      </c>
      <c r="N170" s="131">
        <v>600</v>
      </c>
      <c r="O170" s="23" t="s">
        <v>31</v>
      </c>
      <c r="P170" s="23">
        <f t="shared" si="8"/>
        <v>1200</v>
      </c>
      <c r="Q170" s="217">
        <f t="shared" si="7"/>
        <v>0.5</v>
      </c>
      <c r="R170" s="126" t="e">
        <f>VLOOKUP(G170,#REF!,11,0)*Q170</f>
        <v>#REF!</v>
      </c>
      <c r="S170" s="23" t="s">
        <v>247</v>
      </c>
      <c r="T170" s="23" t="s">
        <v>248</v>
      </c>
      <c r="U170" s="23" t="s">
        <v>31</v>
      </c>
      <c r="V170" s="23" t="s">
        <v>31</v>
      </c>
      <c r="W170" s="23" t="s">
        <v>31</v>
      </c>
      <c r="X170" s="23" t="s">
        <v>31</v>
      </c>
      <c r="Y170" s="23" t="s">
        <v>31</v>
      </c>
      <c r="Z170" s="23" t="s">
        <v>31</v>
      </c>
      <c r="AA170" s="23" t="s">
        <v>31</v>
      </c>
      <c r="AB170" s="23" t="s">
        <v>269</v>
      </c>
      <c r="AC170" s="187"/>
      <c r="AD170" s="187"/>
      <c r="AE170" s="187" t="s">
        <v>402</v>
      </c>
      <c r="AF170" s="187"/>
      <c r="AG170" s="187"/>
      <c r="AH170" s="123" t="str">
        <f>IF(AG170=1,'BU FACILITIES'!$G$24,"")</f>
        <v/>
      </c>
      <c r="AI170" s="187"/>
      <c r="AJ170" s="196"/>
      <c r="AK170" s="120">
        <f>AJ170*'BU FACILITIES'!$G$21</f>
        <v>0</v>
      </c>
      <c r="AL170" s="196">
        <v>0</v>
      </c>
      <c r="AM170" s="121">
        <f>PRODUCT( AL170,'BU FACILITIES'!$G$22)</f>
        <v>0</v>
      </c>
      <c r="AN170" s="187"/>
      <c r="AO170" s="187"/>
      <c r="AP170" s="125" t="str">
        <f>IF(AO170=1,'BU FACILITIES'!$G$23,"")</f>
        <v/>
      </c>
      <c r="AQ170" s="187"/>
      <c r="AR170" s="187"/>
      <c r="AS170" s="122" t="str">
        <f>IF(AR170=300,AQ170*'BU FACILITIES'!$G$4, IF(AND(AR170&gt;300,AR170&lt;=500), AQ170*'BU FACILITIES'!$G$5, IF(AND(AR170&gt;500,AR170&lt;=1250), AQ170*'BU FACILITIES'!$G$6, IF(AND(AR170&gt;1250,AR170&lt;=2000),AQ170*'BU FACILITIES'!$G$7, ""))))</f>
        <v/>
      </c>
      <c r="AT170" s="187"/>
      <c r="AU170" s="187"/>
      <c r="AV170" s="122" t="str">
        <f>IF(AU170=100,AT170*'BU FACILITIES'!$G$8, IF(AND(AU170&gt;100,AU170&lt;=500), AT170*'BU FACILITIES'!$G$9, IF(AND(AU170&gt;500,AU170&lt;=800), AT170*'BU FACILITIES'!$G$10, IF(AND(AU170&gt;800,AU170&lt;=1000),AT170*'BU FACILITIES'!$G$11, IF(AND(AU170&gt;1000,AU170&lt;=1400),AT170*'BU FACILITIES'!$G$12, IF(AND(AU170&gt;1400,AU170&lt;=2000),AT170*'BU FACILITIES'!$G$13,""))))))</f>
        <v/>
      </c>
      <c r="AW170" s="187"/>
      <c r="AX170" s="187"/>
      <c r="AY170" s="122" t="str">
        <f>IF(AX170=30,AW170*'BU FACILITIES'!$G$14, IF(AX170=45, AW170*'BU FACILITIES'!$G$15, IF(AX170=450, AW170*'BU FACILITIES'!$G$16, "")))</f>
        <v/>
      </c>
      <c r="AZ170" s="187"/>
      <c r="BA170" s="187"/>
      <c r="BB170" s="187" t="str">
        <f>IF(AND(BA170&gt;=1,BA170&lt;=5),'BU FACILITIES'!$G$17, IF(AND(BA170&gt;5, BA170&lt;=10), 'BU FACILITIES'!$G$18, IF(AND(BA170&gt;10,BA170&lt;=20),'BU FACILITIES'!$G$19,"")))</f>
        <v/>
      </c>
      <c r="BC170" s="187"/>
      <c r="BD170" s="195" t="str">
        <f>IF(AND(AZ170="Modificar ductería de AA",BC170=1), 'BU FACILITIES'!$G$20, "")</f>
        <v/>
      </c>
    </row>
    <row r="171" spans="1:56" s="3" customFormat="1" ht="12.75" hidden="1" x14ac:dyDescent="0.2">
      <c r="A171" s="24" t="s">
        <v>241</v>
      </c>
      <c r="B171" s="23" t="s">
        <v>242</v>
      </c>
      <c r="C171" s="23" t="s">
        <v>243</v>
      </c>
      <c r="D171" s="38" t="s">
        <v>352</v>
      </c>
      <c r="E171" s="23" t="s">
        <v>245</v>
      </c>
      <c r="F171" s="23">
        <v>2023</v>
      </c>
      <c r="G171" s="23" t="s">
        <v>80</v>
      </c>
      <c r="H171" s="24" t="s">
        <v>66</v>
      </c>
      <c r="I171" s="23" t="s">
        <v>457</v>
      </c>
      <c r="J171" s="23" t="s">
        <v>246</v>
      </c>
      <c r="K171" s="23">
        <v>0</v>
      </c>
      <c r="L171" s="23">
        <v>0</v>
      </c>
      <c r="M171" s="23">
        <v>800</v>
      </c>
      <c r="N171" s="135">
        <v>800</v>
      </c>
      <c r="O171" s="23" t="s">
        <v>31</v>
      </c>
      <c r="P171" s="23">
        <f t="shared" si="8"/>
        <v>7650</v>
      </c>
      <c r="Q171" s="217">
        <f t="shared" si="7"/>
        <v>0.10457516339869281</v>
      </c>
      <c r="R171" s="126" t="e">
        <f>VLOOKUP(G171,#REF!,11,0)*Q171</f>
        <v>#REF!</v>
      </c>
      <c r="S171" s="23" t="s">
        <v>247</v>
      </c>
      <c r="T171" s="23" t="s">
        <v>297</v>
      </c>
      <c r="U171" s="23" t="s">
        <v>31</v>
      </c>
      <c r="V171" s="23" t="s">
        <v>31</v>
      </c>
      <c r="W171" s="23" t="s">
        <v>31</v>
      </c>
      <c r="X171" s="23" t="s">
        <v>31</v>
      </c>
      <c r="Y171" s="23" t="s">
        <v>31</v>
      </c>
      <c r="Z171" s="23" t="s">
        <v>31</v>
      </c>
      <c r="AA171" s="23" t="s">
        <v>31</v>
      </c>
      <c r="AB171" s="23" t="s">
        <v>249</v>
      </c>
      <c r="AC171" s="187"/>
      <c r="AD171" s="187">
        <v>2</v>
      </c>
      <c r="AE171" s="187" t="s">
        <v>402</v>
      </c>
      <c r="AF171" s="187"/>
      <c r="AG171" s="187"/>
      <c r="AH171" s="123" t="str">
        <f>IF(AG171=1,'BU FACILITIES'!$G$24,"")</f>
        <v/>
      </c>
      <c r="AI171" s="187"/>
      <c r="AJ171" s="196"/>
      <c r="AK171" s="120">
        <f>AJ171*'BU FACILITIES'!$G$21</f>
        <v>0</v>
      </c>
      <c r="AL171" s="196">
        <v>0</v>
      </c>
      <c r="AM171" s="121">
        <f>PRODUCT( AL171,'BU FACILITIES'!$G$22)</f>
        <v>0</v>
      </c>
      <c r="AN171" s="187"/>
      <c r="AO171" s="187"/>
      <c r="AP171" s="125" t="str">
        <f>IF(AO171=1,'BU FACILITIES'!$G$23,"")</f>
        <v/>
      </c>
      <c r="AQ171" s="187"/>
      <c r="AR171" s="187"/>
      <c r="AS171" s="122" t="str">
        <f>IF(AR171=300,AQ171*'BU FACILITIES'!$G$4, IF(AND(AR171&gt;300,AR171&lt;=500), AQ171*'BU FACILITIES'!$G$5, IF(AND(AR171&gt;500,AR171&lt;=1250), AQ171*'BU FACILITIES'!$G$6, IF(AND(AR171&gt;1250,AR171&lt;=2000),AQ171*'BU FACILITIES'!$G$7, ""))))</f>
        <v/>
      </c>
      <c r="AT171" s="187"/>
      <c r="AU171" s="187"/>
      <c r="AV171" s="122" t="str">
        <f>IF(AU171=100,AT171*'BU FACILITIES'!$G$8, IF(AND(AU171&gt;100,AU171&lt;=500), AT171*'BU FACILITIES'!$G$9, IF(AND(AU171&gt;500,AU171&lt;=800), AT171*'BU FACILITIES'!$G$10, IF(AND(AU171&gt;800,AU171&lt;=1000),AT171*'BU FACILITIES'!$G$11, IF(AND(AU171&gt;1000,AU171&lt;=1400),AT171*'BU FACILITIES'!$G$12, IF(AND(AU171&gt;1400,AU171&lt;=2000),AT171*'BU FACILITIES'!$G$13,""))))))</f>
        <v/>
      </c>
      <c r="AW171" s="187"/>
      <c r="AX171" s="187"/>
      <c r="AY171" s="122" t="str">
        <f>IF(AX171=30,AW171*'BU FACILITIES'!$G$14, IF(AX171=45, AW171*'BU FACILITIES'!$G$15, IF(AX171=450, AW171*'BU FACILITIES'!$G$16, "")))</f>
        <v/>
      </c>
      <c r="AZ171" s="187"/>
      <c r="BA171" s="187"/>
      <c r="BB171" s="187" t="str">
        <f>IF(AND(BA171&gt;=1,BA171&lt;=5),'BU FACILITIES'!$G$17, IF(AND(BA171&gt;5, BA171&lt;=10), 'BU FACILITIES'!$G$18, IF(AND(BA171&gt;10,BA171&lt;=20),'BU FACILITIES'!$G$19,"")))</f>
        <v/>
      </c>
      <c r="BC171" s="187"/>
      <c r="BD171" s="195" t="str">
        <f>IF(AND(AZ171="Modificar ductería de AA",BC171=1), 'BU FACILITIES'!$G$20, "")</f>
        <v/>
      </c>
    </row>
    <row r="172" spans="1:56" s="3" customFormat="1" x14ac:dyDescent="0.25">
      <c r="A172" s="24" t="s">
        <v>241</v>
      </c>
      <c r="B172" s="23" t="s">
        <v>242</v>
      </c>
      <c r="C172" s="23" t="s">
        <v>243</v>
      </c>
      <c r="D172" s="38" t="s">
        <v>352</v>
      </c>
      <c r="E172" s="23" t="s">
        <v>245</v>
      </c>
      <c r="F172" s="23">
        <v>2023</v>
      </c>
      <c r="G172" s="34" t="s">
        <v>105</v>
      </c>
      <c r="H172" s="85" t="s">
        <v>57</v>
      </c>
      <c r="I172" s="80" t="s">
        <v>31</v>
      </c>
      <c r="J172" s="23" t="s">
        <v>246</v>
      </c>
      <c r="K172" s="23">
        <v>0</v>
      </c>
      <c r="L172" s="23">
        <v>0</v>
      </c>
      <c r="M172" s="29">
        <v>1200</v>
      </c>
      <c r="N172" s="132">
        <v>0</v>
      </c>
      <c r="O172" s="23" t="s">
        <v>31</v>
      </c>
      <c r="P172" s="23">
        <f t="shared" si="8"/>
        <v>2850</v>
      </c>
      <c r="Q172" s="217" t="str">
        <f t="shared" si="7"/>
        <v>0</v>
      </c>
      <c r="R172" s="126" t="e">
        <f>VLOOKUP(G172,#REF!,11,0)*Q172</f>
        <v>#REF!</v>
      </c>
      <c r="S172" s="23" t="s">
        <v>247</v>
      </c>
      <c r="T172" s="23" t="s">
        <v>294</v>
      </c>
      <c r="U172" s="23" t="s">
        <v>31</v>
      </c>
      <c r="V172" s="23" t="s">
        <v>31</v>
      </c>
      <c r="W172" s="23" t="s">
        <v>31</v>
      </c>
      <c r="X172" s="23" t="s">
        <v>31</v>
      </c>
      <c r="Y172" s="23" t="s">
        <v>31</v>
      </c>
      <c r="Z172" s="23" t="s">
        <v>31</v>
      </c>
      <c r="AA172" s="23" t="s">
        <v>31</v>
      </c>
      <c r="AB172" s="23" t="s">
        <v>298</v>
      </c>
      <c r="AC172" s="187" t="s">
        <v>504</v>
      </c>
      <c r="AD172" s="187" t="s">
        <v>495</v>
      </c>
      <c r="AE172" s="187" t="s">
        <v>403</v>
      </c>
      <c r="AF172" s="187"/>
      <c r="AG172" s="187"/>
      <c r="AH172" s="123" t="str">
        <f>IF(AG172=1,'BU FACILITIES'!$G$24,"")</f>
        <v/>
      </c>
      <c r="AI172" s="187"/>
      <c r="AJ172" s="196"/>
      <c r="AK172" s="120">
        <f>AJ172*'BU FACILITIES'!$G$21</f>
        <v>0</v>
      </c>
      <c r="AL172" s="196">
        <v>0</v>
      </c>
      <c r="AM172" s="121">
        <f>PRODUCT( AL172,'BU FACILITIES'!$G$22)</f>
        <v>0</v>
      </c>
      <c r="AN172" s="187"/>
      <c r="AO172" s="187"/>
      <c r="AP172" s="125" t="str">
        <f>IF(AO172=1,'BU FACILITIES'!$G$23,"")</f>
        <v/>
      </c>
      <c r="AQ172" s="187"/>
      <c r="AR172" s="187"/>
      <c r="AS172" s="122" t="str">
        <f>IF(AR172=300,AQ172*'BU FACILITIES'!$G$4, IF(AND(AR172&gt;300,AR172&lt;=500), AQ172*'BU FACILITIES'!$G$5, IF(AND(AR172&gt;500,AR172&lt;=1250), AQ172*'BU FACILITIES'!$G$6, IF(AND(AR172&gt;1250,AR172&lt;=2000),AQ172*'BU FACILITIES'!$G$7, ""))))</f>
        <v/>
      </c>
      <c r="AT172" s="187"/>
      <c r="AU172" s="187"/>
      <c r="AV172" s="122" t="str">
        <f>IF(AU172=100,AT172*'BU FACILITIES'!$G$8, IF(AND(AU172&gt;100,AU172&lt;=500), AT172*'BU FACILITIES'!$G$9, IF(AND(AU172&gt;500,AU172&lt;=800), AT172*'BU FACILITIES'!$G$10, IF(AND(AU172&gt;800,AU172&lt;=1000),AT172*'BU FACILITIES'!$G$11, IF(AND(AU172&gt;1000,AU172&lt;=1400),AT172*'BU FACILITIES'!$G$12, IF(AND(AU172&gt;1400,AU172&lt;=2000),AT172*'BU FACILITIES'!$G$13,""))))))</f>
        <v/>
      </c>
      <c r="AW172" s="187"/>
      <c r="AX172" s="187"/>
      <c r="AY172" s="122" t="str">
        <f>IF(AX172=30,AW172*'BU FACILITIES'!$G$14, IF(AX172=45, AW172*'BU FACILITIES'!$G$15, IF(AX172=450, AW172*'BU FACILITIES'!$G$16, "")))</f>
        <v/>
      </c>
      <c r="AZ172" s="187"/>
      <c r="BA172" s="187"/>
      <c r="BB172" s="187" t="str">
        <f>IF(AND(BA172&gt;=1,BA172&lt;=5),'BU FACILITIES'!$G$17, IF(AND(BA172&gt;5, BA172&lt;=10), 'BU FACILITIES'!$G$18, IF(AND(BA172&gt;10,BA172&lt;=20),'BU FACILITIES'!$G$19,"")))</f>
        <v/>
      </c>
      <c r="BC172" s="187"/>
      <c r="BD172" s="195" t="str">
        <f>IF(AND(AZ172="Modificar ductería de AA",BC172=1), 'BU FACILITIES'!$G$20, "")</f>
        <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A032C-2048-49F7-BB89-514594DD68FC}">
  <dimension ref="B2:BH44"/>
  <sheetViews>
    <sheetView topLeftCell="BG25" workbookViewId="0">
      <selection activeCell="BA27" sqref="BA27"/>
    </sheetView>
  </sheetViews>
  <sheetFormatPr baseColWidth="10" defaultColWidth="9.140625" defaultRowHeight="15" x14ac:dyDescent="0.25"/>
  <cols>
    <col min="21" max="21" width="16.85546875" bestFit="1" customWidth="1"/>
    <col min="37" max="37" width="9.85546875" bestFit="1" customWidth="1"/>
    <col min="40" max="40" width="9.85546875" bestFit="1" customWidth="1"/>
    <col min="45" max="45" width="10.85546875" bestFit="1" customWidth="1"/>
    <col min="59" max="59" width="9.85546875" bestFit="1" customWidth="1"/>
    <col min="60" max="60" width="17.5703125" bestFit="1" customWidth="1"/>
  </cols>
  <sheetData>
    <row r="2" spans="2:60" x14ac:dyDescent="0.25">
      <c r="B2" s="160" t="s">
        <v>569</v>
      </c>
    </row>
    <row r="3" spans="2:60" x14ac:dyDescent="0.25">
      <c r="B3" s="161" t="s">
        <v>570</v>
      </c>
    </row>
    <row r="4" spans="2:60" x14ac:dyDescent="0.25">
      <c r="B4" s="161"/>
    </row>
    <row r="6" spans="2:60" ht="90" x14ac:dyDescent="0.25">
      <c r="C6" t="s">
        <v>0</v>
      </c>
      <c r="D6" t="s">
        <v>1</v>
      </c>
      <c r="E6" t="s">
        <v>2</v>
      </c>
      <c r="F6" t="s">
        <v>3</v>
      </c>
      <c r="G6" t="s">
        <v>4</v>
      </c>
      <c r="H6" t="s">
        <v>5</v>
      </c>
      <c r="I6" t="s">
        <v>6</v>
      </c>
      <c r="J6" s="153" t="s">
        <v>366</v>
      </c>
      <c r="K6" t="s">
        <v>7</v>
      </c>
      <c r="L6" t="s">
        <v>8</v>
      </c>
      <c r="M6" s="153" t="s">
        <v>9</v>
      </c>
      <c r="N6" s="153" t="s">
        <v>10</v>
      </c>
      <c r="O6" t="s">
        <v>11</v>
      </c>
      <c r="P6" t="s">
        <v>12</v>
      </c>
      <c r="Q6" t="s">
        <v>13</v>
      </c>
      <c r="R6" t="s">
        <v>177</v>
      </c>
      <c r="S6" s="153" t="s">
        <v>370</v>
      </c>
      <c r="T6" t="s">
        <v>371</v>
      </c>
      <c r="U6" t="s">
        <v>372</v>
      </c>
      <c r="V6" s="153" t="s">
        <v>15</v>
      </c>
      <c r="W6" t="s">
        <v>16</v>
      </c>
      <c r="X6" t="s">
        <v>17</v>
      </c>
      <c r="Y6" t="s">
        <v>18</v>
      </c>
      <c r="Z6" t="s">
        <v>19</v>
      </c>
      <c r="AA6" s="153" t="s">
        <v>571</v>
      </c>
      <c r="AB6" t="s">
        <v>20</v>
      </c>
      <c r="AC6" t="s">
        <v>21</v>
      </c>
      <c r="AD6" t="s">
        <v>22</v>
      </c>
      <c r="AE6" t="s">
        <v>179</v>
      </c>
      <c r="AF6" t="s">
        <v>373</v>
      </c>
      <c r="AG6" t="s">
        <v>374</v>
      </c>
      <c r="AH6" s="153" t="s">
        <v>375</v>
      </c>
      <c r="AI6" t="s">
        <v>376</v>
      </c>
      <c r="AJ6" t="s">
        <v>377</v>
      </c>
      <c r="AK6" t="s">
        <v>378</v>
      </c>
      <c r="AL6" t="s">
        <v>379</v>
      </c>
      <c r="AM6" t="s">
        <v>380</v>
      </c>
      <c r="AN6" t="s">
        <v>381</v>
      </c>
      <c r="AO6" t="s">
        <v>382</v>
      </c>
      <c r="AP6" t="s">
        <v>383</v>
      </c>
      <c r="AQ6" t="s">
        <v>384</v>
      </c>
      <c r="AR6" t="s">
        <v>385</v>
      </c>
      <c r="AS6" t="s">
        <v>386</v>
      </c>
      <c r="AT6" t="s">
        <v>387</v>
      </c>
      <c r="AU6" t="s">
        <v>388</v>
      </c>
      <c r="AV6" t="s">
        <v>389</v>
      </c>
      <c r="AW6" t="s">
        <v>390</v>
      </c>
      <c r="AX6" s="153" t="s">
        <v>391</v>
      </c>
      <c r="AY6" t="s">
        <v>392</v>
      </c>
      <c r="AZ6" t="s">
        <v>393</v>
      </c>
      <c r="BA6" s="153" t="s">
        <v>394</v>
      </c>
      <c r="BB6" t="s">
        <v>395</v>
      </c>
      <c r="BC6" t="s">
        <v>396</v>
      </c>
      <c r="BD6" s="153" t="s">
        <v>397</v>
      </c>
      <c r="BE6" t="s">
        <v>398</v>
      </c>
      <c r="BF6" t="s">
        <v>399</v>
      </c>
      <c r="BG6" t="s">
        <v>400</v>
      </c>
      <c r="BH6" t="s">
        <v>401</v>
      </c>
    </row>
    <row r="7" spans="2:60" x14ac:dyDescent="0.25">
      <c r="C7" t="s">
        <v>24</v>
      </c>
      <c r="D7" t="s">
        <v>25</v>
      </c>
      <c r="E7" t="s">
        <v>26</v>
      </c>
      <c r="F7" t="s">
        <v>27</v>
      </c>
      <c r="G7" t="s">
        <v>28</v>
      </c>
      <c r="H7">
        <v>2024</v>
      </c>
      <c r="I7" t="s">
        <v>70</v>
      </c>
      <c r="K7" t="s">
        <v>57</v>
      </c>
      <c r="L7" t="s">
        <v>46</v>
      </c>
      <c r="M7" t="s">
        <v>32</v>
      </c>
      <c r="N7">
        <v>2</v>
      </c>
      <c r="O7">
        <v>1</v>
      </c>
      <c r="P7">
        <v>842</v>
      </c>
      <c r="Q7" s="162">
        <v>1403</v>
      </c>
      <c r="S7">
        <v>1403</v>
      </c>
      <c r="T7" s="163">
        <v>1</v>
      </c>
      <c r="U7" s="124">
        <v>0</v>
      </c>
      <c r="V7" t="s">
        <v>33</v>
      </c>
      <c r="W7" t="s">
        <v>31</v>
      </c>
      <c r="X7">
        <v>2</v>
      </c>
      <c r="Y7">
        <v>0</v>
      </c>
      <c r="Z7">
        <v>0</v>
      </c>
      <c r="AA7" t="s">
        <v>33</v>
      </c>
      <c r="AB7">
        <v>3</v>
      </c>
      <c r="AC7" t="s">
        <v>34</v>
      </c>
      <c r="AE7" t="s">
        <v>572</v>
      </c>
      <c r="AF7" t="s">
        <v>402</v>
      </c>
      <c r="AG7">
        <v>4</v>
      </c>
      <c r="AH7" t="s">
        <v>402</v>
      </c>
      <c r="AK7" s="164">
        <v>0</v>
      </c>
      <c r="AN7" s="164">
        <v>0</v>
      </c>
      <c r="AP7" s="164">
        <v>0</v>
      </c>
      <c r="AS7" s="164">
        <v>0</v>
      </c>
      <c r="AV7" s="164">
        <v>0</v>
      </c>
      <c r="AY7" s="164">
        <v>0</v>
      </c>
      <c r="BB7" s="164">
        <v>0</v>
      </c>
      <c r="BE7" s="164">
        <v>0</v>
      </c>
      <c r="BG7" s="164">
        <v>0</v>
      </c>
      <c r="BH7" s="165">
        <v>0</v>
      </c>
    </row>
    <row r="8" spans="2:60" x14ac:dyDescent="0.25">
      <c r="C8" t="s">
        <v>24</v>
      </c>
      <c r="D8" t="s">
        <v>25</v>
      </c>
      <c r="E8" t="s">
        <v>26</v>
      </c>
      <c r="F8" t="s">
        <v>27</v>
      </c>
      <c r="G8" t="s">
        <v>28</v>
      </c>
      <c r="H8">
        <v>2024</v>
      </c>
      <c r="I8" t="s">
        <v>413</v>
      </c>
      <c r="K8" t="s">
        <v>57</v>
      </c>
      <c r="L8" t="s">
        <v>46</v>
      </c>
      <c r="M8" t="s">
        <v>32</v>
      </c>
      <c r="N8">
        <v>2</v>
      </c>
      <c r="O8">
        <v>1</v>
      </c>
      <c r="P8">
        <v>842</v>
      </c>
      <c r="Q8" s="162">
        <v>1403</v>
      </c>
      <c r="S8">
        <v>1403</v>
      </c>
      <c r="T8" s="163">
        <v>1</v>
      </c>
      <c r="U8" s="124">
        <v>0</v>
      </c>
      <c r="V8" t="s">
        <v>33</v>
      </c>
      <c r="W8" t="s">
        <v>31</v>
      </c>
      <c r="X8">
        <v>2</v>
      </c>
      <c r="Y8">
        <v>0</v>
      </c>
      <c r="Z8">
        <v>0</v>
      </c>
      <c r="AA8" t="s">
        <v>33</v>
      </c>
      <c r="AB8">
        <v>3</v>
      </c>
      <c r="AC8" t="s">
        <v>34</v>
      </c>
      <c r="AE8" t="s">
        <v>573</v>
      </c>
      <c r="AF8" t="s">
        <v>574</v>
      </c>
      <c r="AG8">
        <v>5</v>
      </c>
      <c r="AH8" t="s">
        <v>575</v>
      </c>
      <c r="AK8" s="164">
        <v>0</v>
      </c>
      <c r="AN8" s="164">
        <v>0</v>
      </c>
      <c r="AP8" s="164">
        <v>0</v>
      </c>
      <c r="AS8" s="164">
        <v>0</v>
      </c>
      <c r="AV8" s="164">
        <v>0</v>
      </c>
      <c r="AY8" s="164">
        <v>0</v>
      </c>
      <c r="BB8" s="164">
        <v>0</v>
      </c>
      <c r="BE8" s="164">
        <v>0</v>
      </c>
      <c r="BG8" s="164">
        <v>0</v>
      </c>
      <c r="BH8" s="165">
        <v>0</v>
      </c>
    </row>
    <row r="9" spans="2:60" x14ac:dyDescent="0.25">
      <c r="C9" t="s">
        <v>24</v>
      </c>
      <c r="D9" t="s">
        <v>25</v>
      </c>
      <c r="E9" t="s">
        <v>26</v>
      </c>
      <c r="F9" t="s">
        <v>27</v>
      </c>
      <c r="G9" t="s">
        <v>28</v>
      </c>
      <c r="H9">
        <v>2024</v>
      </c>
      <c r="I9" t="s">
        <v>285</v>
      </c>
      <c r="K9" t="s">
        <v>57</v>
      </c>
      <c r="L9" t="s">
        <v>46</v>
      </c>
      <c r="M9" t="s">
        <v>32</v>
      </c>
      <c r="N9">
        <v>2</v>
      </c>
      <c r="O9">
        <v>1</v>
      </c>
      <c r="P9">
        <v>842</v>
      </c>
      <c r="Q9" s="162">
        <v>1403</v>
      </c>
      <c r="S9">
        <v>12103</v>
      </c>
      <c r="T9" s="163">
        <v>0.11592167231265001</v>
      </c>
      <c r="U9" s="124">
        <v>0</v>
      </c>
      <c r="V9" t="s">
        <v>33</v>
      </c>
      <c r="W9" t="s">
        <v>31</v>
      </c>
      <c r="X9">
        <v>2</v>
      </c>
      <c r="Y9">
        <v>0</v>
      </c>
      <c r="Z9">
        <v>0</v>
      </c>
      <c r="AA9" t="s">
        <v>33</v>
      </c>
      <c r="AB9">
        <v>3</v>
      </c>
      <c r="AC9" t="s">
        <v>34</v>
      </c>
      <c r="AE9" t="s">
        <v>576</v>
      </c>
      <c r="AF9" t="s">
        <v>577</v>
      </c>
      <c r="AG9">
        <v>1</v>
      </c>
      <c r="AH9" t="s">
        <v>403</v>
      </c>
      <c r="AK9" s="164">
        <v>0</v>
      </c>
      <c r="AN9" s="164">
        <v>0</v>
      </c>
      <c r="AP9" s="164">
        <v>0</v>
      </c>
      <c r="AS9" s="164">
        <v>0</v>
      </c>
      <c r="AV9" s="164">
        <v>0</v>
      </c>
      <c r="AY9" s="164">
        <v>0</v>
      </c>
      <c r="BB9" s="164">
        <v>0</v>
      </c>
      <c r="BE9" s="164">
        <v>0</v>
      </c>
      <c r="BG9" s="164">
        <v>0</v>
      </c>
      <c r="BH9" s="165">
        <v>0</v>
      </c>
    </row>
    <row r="10" spans="2:60" x14ac:dyDescent="0.25">
      <c r="C10" t="s">
        <v>24</v>
      </c>
      <c r="D10" t="s">
        <v>25</v>
      </c>
      <c r="E10" t="s">
        <v>26</v>
      </c>
      <c r="F10" t="s">
        <v>27</v>
      </c>
      <c r="G10" t="s">
        <v>28</v>
      </c>
      <c r="H10">
        <v>2024</v>
      </c>
      <c r="I10" t="s">
        <v>255</v>
      </c>
      <c r="J10" t="s">
        <v>405</v>
      </c>
      <c r="K10" t="s">
        <v>53</v>
      </c>
      <c r="L10" t="s">
        <v>411</v>
      </c>
      <c r="M10" t="s">
        <v>32</v>
      </c>
      <c r="N10">
        <v>2</v>
      </c>
      <c r="O10">
        <v>1</v>
      </c>
      <c r="P10">
        <v>842</v>
      </c>
      <c r="Q10" s="162">
        <v>1403</v>
      </c>
      <c r="S10">
        <v>7703</v>
      </c>
      <c r="T10" s="163">
        <v>0.18213682980656901</v>
      </c>
      <c r="U10" s="124">
        <v>0</v>
      </c>
      <c r="V10" t="s">
        <v>33</v>
      </c>
      <c r="W10" t="s">
        <v>31</v>
      </c>
      <c r="X10">
        <v>2</v>
      </c>
      <c r="Y10">
        <v>0</v>
      </c>
      <c r="Z10">
        <v>0</v>
      </c>
      <c r="AA10" t="s">
        <v>33</v>
      </c>
      <c r="AB10">
        <v>3</v>
      </c>
      <c r="AC10" t="s">
        <v>34</v>
      </c>
      <c r="AE10" t="s">
        <v>573</v>
      </c>
      <c r="AF10" t="s">
        <v>578</v>
      </c>
      <c r="AH10" t="s">
        <v>402</v>
      </c>
      <c r="AJ10" t="s">
        <v>403</v>
      </c>
      <c r="AK10" s="164">
        <v>0</v>
      </c>
      <c r="AL10" t="s">
        <v>403</v>
      </c>
      <c r="AM10" t="s">
        <v>403</v>
      </c>
      <c r="AN10" s="164">
        <v>0</v>
      </c>
      <c r="AO10" t="s">
        <v>403</v>
      </c>
      <c r="AP10" s="164">
        <v>0</v>
      </c>
      <c r="AQ10" t="s">
        <v>403</v>
      </c>
      <c r="AR10" t="s">
        <v>403</v>
      </c>
      <c r="AS10" s="164">
        <v>0</v>
      </c>
      <c r="AT10">
        <v>0</v>
      </c>
      <c r="AU10">
        <v>0</v>
      </c>
      <c r="AV10" s="164">
        <v>0</v>
      </c>
      <c r="AW10">
        <v>0</v>
      </c>
      <c r="AX10">
        <v>0</v>
      </c>
      <c r="AY10" s="164">
        <v>0</v>
      </c>
      <c r="AZ10">
        <v>0</v>
      </c>
      <c r="BA10">
        <v>0</v>
      </c>
      <c r="BB10" s="164">
        <v>0</v>
      </c>
      <c r="BC10">
        <v>0</v>
      </c>
      <c r="BD10">
        <v>0</v>
      </c>
      <c r="BE10" s="164">
        <v>0</v>
      </c>
      <c r="BF10">
        <v>0</v>
      </c>
      <c r="BG10" s="164">
        <v>0</v>
      </c>
      <c r="BH10" s="165">
        <v>0</v>
      </c>
    </row>
    <row r="11" spans="2:60" x14ac:dyDescent="0.25">
      <c r="C11" t="s">
        <v>24</v>
      </c>
      <c r="D11" t="s">
        <v>25</v>
      </c>
      <c r="E11" t="s">
        <v>26</v>
      </c>
      <c r="F11" t="s">
        <v>27</v>
      </c>
      <c r="G11" t="s">
        <v>28</v>
      </c>
      <c r="H11">
        <v>2024</v>
      </c>
      <c r="I11" t="s">
        <v>113</v>
      </c>
      <c r="K11" t="s">
        <v>66</v>
      </c>
      <c r="L11" t="s">
        <v>579</v>
      </c>
      <c r="M11" t="s">
        <v>32</v>
      </c>
      <c r="N11">
        <v>2</v>
      </c>
      <c r="O11">
        <v>1</v>
      </c>
      <c r="P11">
        <v>842</v>
      </c>
      <c r="Q11" s="162">
        <v>1403</v>
      </c>
      <c r="S11">
        <v>1403</v>
      </c>
      <c r="T11" s="163">
        <v>1</v>
      </c>
      <c r="U11" s="124">
        <v>241500000</v>
      </c>
      <c r="V11" t="s">
        <v>33</v>
      </c>
      <c r="W11" t="s">
        <v>31</v>
      </c>
      <c r="X11">
        <v>2</v>
      </c>
      <c r="Y11">
        <v>0</v>
      </c>
      <c r="Z11">
        <v>0</v>
      </c>
      <c r="AA11" t="s">
        <v>33</v>
      </c>
      <c r="AB11">
        <v>3</v>
      </c>
      <c r="AC11" t="s">
        <v>34</v>
      </c>
      <c r="AE11" t="s">
        <v>580</v>
      </c>
      <c r="AF11" t="s">
        <v>581</v>
      </c>
      <c r="AG11">
        <v>3</v>
      </c>
      <c r="AH11" t="s">
        <v>402</v>
      </c>
      <c r="AI11" t="s">
        <v>31</v>
      </c>
      <c r="AJ11" t="s">
        <v>402</v>
      </c>
      <c r="AK11" s="164">
        <v>20000000</v>
      </c>
      <c r="AL11" t="s">
        <v>31</v>
      </c>
      <c r="AM11" t="s">
        <v>402</v>
      </c>
      <c r="AN11" s="164">
        <v>15000000</v>
      </c>
      <c r="AO11" t="s">
        <v>402</v>
      </c>
      <c r="AP11" s="164">
        <v>1500000</v>
      </c>
      <c r="AQ11" t="s">
        <v>31</v>
      </c>
      <c r="AR11" t="s">
        <v>402</v>
      </c>
      <c r="AS11" s="164">
        <v>150000000</v>
      </c>
      <c r="AT11" t="s">
        <v>31</v>
      </c>
      <c r="AU11" t="s">
        <v>31</v>
      </c>
      <c r="AV11" s="164">
        <v>0</v>
      </c>
      <c r="AW11" t="s">
        <v>31</v>
      </c>
      <c r="AX11" t="s">
        <v>31</v>
      </c>
      <c r="AY11" s="164">
        <v>0</v>
      </c>
      <c r="AZ11" t="s">
        <v>31</v>
      </c>
      <c r="BA11" t="s">
        <v>31</v>
      </c>
      <c r="BB11" s="164">
        <v>0</v>
      </c>
      <c r="BC11" t="s">
        <v>31</v>
      </c>
      <c r="BD11" t="s">
        <v>31</v>
      </c>
      <c r="BE11" s="164">
        <v>0</v>
      </c>
      <c r="BF11" t="s">
        <v>402</v>
      </c>
      <c r="BG11" s="164">
        <v>55000000</v>
      </c>
      <c r="BH11" s="165">
        <v>241500000</v>
      </c>
    </row>
    <row r="12" spans="2:60" x14ac:dyDescent="0.25">
      <c r="C12" t="s">
        <v>24</v>
      </c>
      <c r="D12" t="s">
        <v>25</v>
      </c>
      <c r="E12" t="s">
        <v>26</v>
      </c>
      <c r="F12" t="s">
        <v>27</v>
      </c>
      <c r="G12" t="s">
        <v>28</v>
      </c>
      <c r="H12">
        <v>2024</v>
      </c>
      <c r="I12" t="s">
        <v>566</v>
      </c>
      <c r="K12" t="s">
        <v>582</v>
      </c>
      <c r="M12" t="s">
        <v>32</v>
      </c>
      <c r="N12">
        <v>2</v>
      </c>
      <c r="O12">
        <v>1</v>
      </c>
      <c r="P12">
        <v>842</v>
      </c>
      <c r="Q12" s="162">
        <v>1403</v>
      </c>
      <c r="S12">
        <v>1403</v>
      </c>
      <c r="T12" s="163">
        <v>1</v>
      </c>
      <c r="U12" s="124">
        <v>0</v>
      </c>
      <c r="V12" t="s">
        <v>33</v>
      </c>
      <c r="W12" t="s">
        <v>31</v>
      </c>
      <c r="X12">
        <v>2</v>
      </c>
      <c r="Y12">
        <v>0</v>
      </c>
      <c r="Z12">
        <v>0</v>
      </c>
      <c r="AA12" t="s">
        <v>33</v>
      </c>
      <c r="AB12">
        <v>3</v>
      </c>
      <c r="AC12" t="s">
        <v>34</v>
      </c>
      <c r="AE12" t="s">
        <v>583</v>
      </c>
      <c r="AK12" s="164">
        <v>0</v>
      </c>
      <c r="AN12" s="164">
        <v>0</v>
      </c>
      <c r="AP12" s="164">
        <v>0</v>
      </c>
      <c r="AS12" s="164">
        <v>0</v>
      </c>
      <c r="AV12" s="164">
        <v>0</v>
      </c>
      <c r="AY12" s="164">
        <v>0</v>
      </c>
      <c r="BB12" s="164">
        <v>0</v>
      </c>
      <c r="BE12" s="164">
        <v>0</v>
      </c>
      <c r="BG12" s="164">
        <v>0</v>
      </c>
      <c r="BH12" s="165">
        <v>0</v>
      </c>
    </row>
    <row r="13" spans="2:60" x14ac:dyDescent="0.25">
      <c r="C13" t="s">
        <v>234</v>
      </c>
      <c r="D13" t="s">
        <v>181</v>
      </c>
      <c r="E13" t="s">
        <v>26</v>
      </c>
      <c r="F13" t="s">
        <v>182</v>
      </c>
      <c r="G13" t="s">
        <v>183</v>
      </c>
      <c r="H13">
        <v>2024</v>
      </c>
      <c r="I13" t="s">
        <v>80</v>
      </c>
      <c r="K13" t="s">
        <v>66</v>
      </c>
      <c r="L13" t="s">
        <v>579</v>
      </c>
      <c r="M13" t="s">
        <v>185</v>
      </c>
      <c r="N13" t="s">
        <v>31</v>
      </c>
      <c r="O13" t="s">
        <v>31</v>
      </c>
      <c r="P13">
        <v>147</v>
      </c>
      <c r="Q13">
        <v>147</v>
      </c>
      <c r="S13">
        <v>618</v>
      </c>
      <c r="T13" s="163">
        <v>0.237864077669903</v>
      </c>
      <c r="U13" s="124">
        <v>713592.23300970905</v>
      </c>
      <c r="V13" t="s">
        <v>33</v>
      </c>
      <c r="W13">
        <v>501.58</v>
      </c>
      <c r="X13" t="s">
        <v>31</v>
      </c>
      <c r="Y13" t="s">
        <v>31</v>
      </c>
      <c r="Z13" t="s">
        <v>31</v>
      </c>
      <c r="AA13" t="s">
        <v>93</v>
      </c>
      <c r="AB13" t="s">
        <v>31</v>
      </c>
      <c r="AC13" t="s">
        <v>31</v>
      </c>
      <c r="AD13" t="s">
        <v>31</v>
      </c>
      <c r="AE13" t="s">
        <v>584</v>
      </c>
      <c r="AF13" t="s">
        <v>31</v>
      </c>
      <c r="AG13">
        <v>2</v>
      </c>
      <c r="AH13" t="s">
        <v>402</v>
      </c>
      <c r="AI13" t="s">
        <v>31</v>
      </c>
      <c r="AJ13" t="s">
        <v>31</v>
      </c>
      <c r="AK13" s="164">
        <v>0</v>
      </c>
      <c r="AL13" t="s">
        <v>31</v>
      </c>
      <c r="AM13" t="s">
        <v>31</v>
      </c>
      <c r="AN13" s="164">
        <v>0</v>
      </c>
      <c r="AO13" t="s">
        <v>402</v>
      </c>
      <c r="AP13" s="164">
        <v>1500000</v>
      </c>
      <c r="AQ13" t="s">
        <v>31</v>
      </c>
      <c r="AR13" t="s">
        <v>31</v>
      </c>
      <c r="AS13" s="164">
        <v>0</v>
      </c>
      <c r="AT13" t="s">
        <v>31</v>
      </c>
      <c r="AU13" t="s">
        <v>31</v>
      </c>
      <c r="AV13" s="164">
        <v>0</v>
      </c>
      <c r="AW13" t="s">
        <v>31</v>
      </c>
      <c r="AX13" t="s">
        <v>31</v>
      </c>
      <c r="AY13" s="164">
        <v>0</v>
      </c>
      <c r="AZ13" t="s">
        <v>31</v>
      </c>
      <c r="BA13" t="s">
        <v>31</v>
      </c>
      <c r="BB13" s="164">
        <v>0</v>
      </c>
      <c r="BC13" t="s">
        <v>31</v>
      </c>
      <c r="BD13" t="s">
        <v>31</v>
      </c>
      <c r="BE13" s="164">
        <v>0</v>
      </c>
      <c r="BF13" t="s">
        <v>31</v>
      </c>
      <c r="BG13" s="164">
        <v>0</v>
      </c>
      <c r="BH13" s="165">
        <v>1500000</v>
      </c>
    </row>
    <row r="14" spans="2:60" x14ac:dyDescent="0.25">
      <c r="C14" t="s">
        <v>234</v>
      </c>
      <c r="D14" t="s">
        <v>181</v>
      </c>
      <c r="E14" t="s">
        <v>26</v>
      </c>
      <c r="F14" t="s">
        <v>182</v>
      </c>
      <c r="G14" t="s">
        <v>183</v>
      </c>
      <c r="H14">
        <v>2024</v>
      </c>
      <c r="I14" t="s">
        <v>43</v>
      </c>
      <c r="K14" t="s">
        <v>59</v>
      </c>
      <c r="L14" t="s">
        <v>184</v>
      </c>
      <c r="M14" t="s">
        <v>185</v>
      </c>
      <c r="N14" t="s">
        <v>31</v>
      </c>
      <c r="O14" t="s">
        <v>31</v>
      </c>
      <c r="P14">
        <v>310</v>
      </c>
      <c r="Q14">
        <v>310</v>
      </c>
      <c r="S14">
        <v>310</v>
      </c>
      <c r="T14" s="163">
        <v>1</v>
      </c>
      <c r="U14" s="124">
        <v>0</v>
      </c>
      <c r="V14" t="s">
        <v>33</v>
      </c>
      <c r="W14">
        <v>1057.75</v>
      </c>
      <c r="X14" t="s">
        <v>31</v>
      </c>
      <c r="Y14" t="s">
        <v>31</v>
      </c>
      <c r="Z14" t="s">
        <v>31</v>
      </c>
      <c r="AA14" t="s">
        <v>93</v>
      </c>
      <c r="AB14" t="s">
        <v>31</v>
      </c>
      <c r="AC14" t="s">
        <v>31</v>
      </c>
      <c r="AD14" t="s">
        <v>31</v>
      </c>
      <c r="AE14" t="s">
        <v>584</v>
      </c>
      <c r="AF14" t="s">
        <v>585</v>
      </c>
      <c r="AH14" t="s">
        <v>402</v>
      </c>
      <c r="AK14" s="164">
        <v>0</v>
      </c>
      <c r="AN14" s="164">
        <v>0</v>
      </c>
      <c r="AP14" s="164">
        <v>0</v>
      </c>
      <c r="AS14" s="164">
        <v>0</v>
      </c>
      <c r="AV14" s="164">
        <v>0</v>
      </c>
      <c r="AY14" s="164">
        <v>0</v>
      </c>
      <c r="BB14" s="164">
        <v>0</v>
      </c>
      <c r="BE14" s="164">
        <v>0</v>
      </c>
      <c r="BG14" s="164">
        <v>0</v>
      </c>
      <c r="BH14" s="165">
        <v>0</v>
      </c>
    </row>
    <row r="15" spans="2:60" x14ac:dyDescent="0.25">
      <c r="C15" t="s">
        <v>241</v>
      </c>
      <c r="D15" t="s">
        <v>181</v>
      </c>
      <c r="E15" t="s">
        <v>26</v>
      </c>
      <c r="F15" t="s">
        <v>586</v>
      </c>
      <c r="G15" t="s">
        <v>245</v>
      </c>
      <c r="H15">
        <v>2024</v>
      </c>
      <c r="I15" t="s">
        <v>563</v>
      </c>
      <c r="J15" t="s">
        <v>31</v>
      </c>
      <c r="K15" t="s">
        <v>66</v>
      </c>
      <c r="L15" t="s">
        <v>579</v>
      </c>
      <c r="M15" t="s">
        <v>185</v>
      </c>
      <c r="N15" t="s">
        <v>31</v>
      </c>
      <c r="O15" t="s">
        <v>31</v>
      </c>
      <c r="P15">
        <v>400</v>
      </c>
      <c r="Q15">
        <v>400</v>
      </c>
      <c r="R15" t="s">
        <v>31</v>
      </c>
      <c r="S15">
        <v>400</v>
      </c>
      <c r="T15" s="163">
        <v>1</v>
      </c>
      <c r="U15" s="124">
        <v>0</v>
      </c>
      <c r="V15" t="s">
        <v>33</v>
      </c>
      <c r="W15" t="s">
        <v>31</v>
      </c>
      <c r="X15" t="s">
        <v>31</v>
      </c>
      <c r="Y15" t="s">
        <v>31</v>
      </c>
      <c r="Z15" t="s">
        <v>31</v>
      </c>
      <c r="AB15" t="s">
        <v>31</v>
      </c>
      <c r="AC15" t="s">
        <v>31</v>
      </c>
      <c r="AD15" t="s">
        <v>31</v>
      </c>
      <c r="AE15" t="s">
        <v>587</v>
      </c>
      <c r="AH15" t="s">
        <v>402</v>
      </c>
      <c r="AK15" s="164">
        <v>0</v>
      </c>
      <c r="AN15" s="164">
        <v>0</v>
      </c>
      <c r="AP15" s="164">
        <v>0</v>
      </c>
      <c r="AS15" s="164">
        <v>0</v>
      </c>
      <c r="AV15" s="164">
        <v>0</v>
      </c>
      <c r="AY15" s="164">
        <v>0</v>
      </c>
      <c r="BB15" s="164">
        <v>0</v>
      </c>
      <c r="BE15" s="164">
        <v>0</v>
      </c>
      <c r="BG15" s="164">
        <v>0</v>
      </c>
      <c r="BH15" s="165">
        <v>0</v>
      </c>
    </row>
    <row r="16" spans="2:60" x14ac:dyDescent="0.25">
      <c r="C16" t="s">
        <v>241</v>
      </c>
      <c r="D16" t="s">
        <v>181</v>
      </c>
      <c r="E16" t="s">
        <v>26</v>
      </c>
      <c r="F16" t="s">
        <v>586</v>
      </c>
      <c r="G16" t="s">
        <v>245</v>
      </c>
      <c r="H16">
        <v>2024</v>
      </c>
      <c r="I16" t="s">
        <v>567</v>
      </c>
      <c r="J16" t="s">
        <v>405</v>
      </c>
      <c r="K16" t="s">
        <v>161</v>
      </c>
      <c r="L16" t="s">
        <v>411</v>
      </c>
      <c r="M16" t="s">
        <v>185</v>
      </c>
      <c r="N16" t="s">
        <v>31</v>
      </c>
      <c r="O16" t="s">
        <v>31</v>
      </c>
      <c r="P16">
        <v>400</v>
      </c>
      <c r="Q16">
        <v>400</v>
      </c>
      <c r="R16" t="s">
        <v>31</v>
      </c>
      <c r="S16">
        <v>400</v>
      </c>
      <c r="T16" s="163">
        <v>1</v>
      </c>
      <c r="U16" s="124">
        <v>0</v>
      </c>
      <c r="V16" t="s">
        <v>33</v>
      </c>
      <c r="W16" t="s">
        <v>31</v>
      </c>
      <c r="X16" t="s">
        <v>31</v>
      </c>
      <c r="Y16" t="s">
        <v>31</v>
      </c>
      <c r="Z16" t="s">
        <v>31</v>
      </c>
      <c r="AB16" t="s">
        <v>31</v>
      </c>
      <c r="AC16" t="s">
        <v>31</v>
      </c>
      <c r="AD16" t="s">
        <v>31</v>
      </c>
      <c r="AE16" t="s">
        <v>587</v>
      </c>
      <c r="AF16" t="s">
        <v>588</v>
      </c>
      <c r="AH16" t="s">
        <v>402</v>
      </c>
      <c r="AJ16" t="s">
        <v>403</v>
      </c>
      <c r="AK16" s="164">
        <v>0</v>
      </c>
      <c r="AL16" t="s">
        <v>403</v>
      </c>
      <c r="AM16" t="s">
        <v>403</v>
      </c>
      <c r="AN16" s="164">
        <v>0</v>
      </c>
      <c r="AO16" t="s">
        <v>403</v>
      </c>
      <c r="AP16" s="164">
        <v>0</v>
      </c>
      <c r="AQ16" t="s">
        <v>403</v>
      </c>
      <c r="AR16" t="s">
        <v>403</v>
      </c>
      <c r="AS16" s="164">
        <v>0</v>
      </c>
      <c r="AT16">
        <v>0</v>
      </c>
      <c r="AU16">
        <v>0</v>
      </c>
      <c r="AV16" s="164">
        <v>0</v>
      </c>
      <c r="AW16">
        <v>0</v>
      </c>
      <c r="AX16">
        <v>0</v>
      </c>
      <c r="AY16" s="164">
        <v>0</v>
      </c>
      <c r="AZ16">
        <v>0</v>
      </c>
      <c r="BA16">
        <v>0</v>
      </c>
      <c r="BB16" s="164">
        <v>0</v>
      </c>
      <c r="BC16">
        <v>0</v>
      </c>
      <c r="BD16">
        <v>0</v>
      </c>
      <c r="BE16" s="164">
        <v>0</v>
      </c>
      <c r="BF16">
        <v>0</v>
      </c>
      <c r="BG16" s="164">
        <v>0</v>
      </c>
      <c r="BH16" s="165">
        <v>0</v>
      </c>
    </row>
    <row r="17" spans="3:60" x14ac:dyDescent="0.25">
      <c r="C17" t="s">
        <v>241</v>
      </c>
      <c r="D17" t="s">
        <v>181</v>
      </c>
      <c r="E17" t="s">
        <v>26</v>
      </c>
      <c r="F17" t="s">
        <v>586</v>
      </c>
      <c r="G17" t="s">
        <v>245</v>
      </c>
      <c r="H17">
        <v>2024</v>
      </c>
      <c r="I17" t="s">
        <v>195</v>
      </c>
      <c r="J17" t="s">
        <v>31</v>
      </c>
      <c r="K17" t="s">
        <v>49</v>
      </c>
      <c r="L17" t="s">
        <v>412</v>
      </c>
      <c r="M17" t="s">
        <v>185</v>
      </c>
      <c r="N17" t="s">
        <v>31</v>
      </c>
      <c r="O17" t="s">
        <v>31</v>
      </c>
      <c r="P17">
        <v>400</v>
      </c>
      <c r="Q17">
        <v>400</v>
      </c>
      <c r="R17" t="s">
        <v>31</v>
      </c>
      <c r="S17">
        <v>400</v>
      </c>
      <c r="T17" s="163">
        <v>1</v>
      </c>
      <c r="U17" s="124">
        <v>0</v>
      </c>
      <c r="V17" t="s">
        <v>33</v>
      </c>
      <c r="W17" t="s">
        <v>31</v>
      </c>
      <c r="X17" t="s">
        <v>31</v>
      </c>
      <c r="Y17" t="s">
        <v>31</v>
      </c>
      <c r="Z17" t="s">
        <v>31</v>
      </c>
      <c r="AB17" t="s">
        <v>31</v>
      </c>
      <c r="AC17" t="s">
        <v>31</v>
      </c>
      <c r="AD17" t="s">
        <v>31</v>
      </c>
      <c r="AE17" t="s">
        <v>587</v>
      </c>
      <c r="AF17" t="s">
        <v>589</v>
      </c>
      <c r="AH17" t="s">
        <v>402</v>
      </c>
      <c r="AI17" t="s">
        <v>410</v>
      </c>
      <c r="AJ17" t="s">
        <v>410</v>
      </c>
      <c r="AK17" s="164">
        <v>0</v>
      </c>
      <c r="AL17" t="s">
        <v>410</v>
      </c>
      <c r="AM17" t="s">
        <v>410</v>
      </c>
      <c r="AN17" s="164">
        <v>0</v>
      </c>
      <c r="AP17" s="164">
        <v>0</v>
      </c>
      <c r="AS17" s="164">
        <v>0</v>
      </c>
      <c r="AT17">
        <v>0</v>
      </c>
      <c r="AU17">
        <v>0</v>
      </c>
      <c r="AV17" s="164">
        <v>0</v>
      </c>
      <c r="AW17">
        <v>0</v>
      </c>
      <c r="AX17">
        <v>0</v>
      </c>
      <c r="AY17" s="164">
        <v>0</v>
      </c>
      <c r="AZ17">
        <v>0</v>
      </c>
      <c r="BA17">
        <v>0</v>
      </c>
      <c r="BB17" s="164">
        <v>0</v>
      </c>
      <c r="BC17">
        <v>0</v>
      </c>
      <c r="BD17">
        <v>0</v>
      </c>
      <c r="BE17" s="164">
        <v>0</v>
      </c>
      <c r="BG17" s="164">
        <v>0</v>
      </c>
      <c r="BH17" s="165">
        <v>0</v>
      </c>
    </row>
    <row r="18" spans="3:60" x14ac:dyDescent="0.25">
      <c r="C18" t="s">
        <v>241</v>
      </c>
      <c r="D18" t="s">
        <v>181</v>
      </c>
      <c r="E18" t="s">
        <v>26</v>
      </c>
      <c r="F18" t="s">
        <v>586</v>
      </c>
      <c r="G18" t="s">
        <v>245</v>
      </c>
      <c r="H18">
        <v>2024</v>
      </c>
      <c r="I18" t="s">
        <v>564</v>
      </c>
      <c r="J18" t="s">
        <v>31</v>
      </c>
      <c r="K18" t="s">
        <v>146</v>
      </c>
      <c r="L18" t="s">
        <v>412</v>
      </c>
      <c r="M18" t="s">
        <v>185</v>
      </c>
      <c r="N18" t="s">
        <v>31</v>
      </c>
      <c r="O18" t="s">
        <v>31</v>
      </c>
      <c r="P18">
        <v>400</v>
      </c>
      <c r="Q18">
        <v>400</v>
      </c>
      <c r="R18" t="s">
        <v>31</v>
      </c>
      <c r="S18">
        <v>400</v>
      </c>
      <c r="T18" s="163">
        <v>1</v>
      </c>
      <c r="U18" s="124">
        <v>0</v>
      </c>
      <c r="V18" t="s">
        <v>33</v>
      </c>
      <c r="W18" t="s">
        <v>31</v>
      </c>
      <c r="X18" t="s">
        <v>31</v>
      </c>
      <c r="Y18" t="s">
        <v>31</v>
      </c>
      <c r="Z18" t="s">
        <v>31</v>
      </c>
      <c r="AB18" t="s">
        <v>31</v>
      </c>
      <c r="AC18" t="s">
        <v>31</v>
      </c>
      <c r="AD18" t="s">
        <v>31</v>
      </c>
      <c r="AE18" t="s">
        <v>587</v>
      </c>
      <c r="AF18" t="s">
        <v>589</v>
      </c>
      <c r="AH18" t="s">
        <v>402</v>
      </c>
      <c r="AI18" t="s">
        <v>410</v>
      </c>
      <c r="AJ18" t="s">
        <v>410</v>
      </c>
      <c r="AK18" s="164">
        <v>0</v>
      </c>
      <c r="AL18" t="s">
        <v>410</v>
      </c>
      <c r="AM18" t="s">
        <v>410</v>
      </c>
      <c r="AN18" s="164">
        <v>0</v>
      </c>
      <c r="AP18" s="164">
        <v>0</v>
      </c>
      <c r="AS18" s="164">
        <v>0</v>
      </c>
      <c r="AT18">
        <v>0</v>
      </c>
      <c r="AU18">
        <v>0</v>
      </c>
      <c r="AV18" s="164">
        <v>0</v>
      </c>
      <c r="AW18">
        <v>0</v>
      </c>
      <c r="AX18">
        <v>0</v>
      </c>
      <c r="AY18" s="164">
        <v>0</v>
      </c>
      <c r="AZ18">
        <v>0</v>
      </c>
      <c r="BA18">
        <v>0</v>
      </c>
      <c r="BB18" s="164">
        <v>0</v>
      </c>
      <c r="BC18">
        <v>0</v>
      </c>
      <c r="BD18">
        <v>0</v>
      </c>
      <c r="BE18" s="164">
        <v>0</v>
      </c>
      <c r="BG18" s="164">
        <v>0</v>
      </c>
      <c r="BH18" s="165">
        <v>0</v>
      </c>
    </row>
    <row r="19" spans="3:60" x14ac:dyDescent="0.25">
      <c r="C19" t="s">
        <v>241</v>
      </c>
      <c r="D19" t="s">
        <v>181</v>
      </c>
      <c r="E19" t="s">
        <v>26</v>
      </c>
      <c r="F19" t="s">
        <v>586</v>
      </c>
      <c r="G19" t="s">
        <v>245</v>
      </c>
      <c r="H19">
        <v>2024</v>
      </c>
      <c r="I19" t="s">
        <v>256</v>
      </c>
      <c r="J19" t="s">
        <v>31</v>
      </c>
      <c r="K19" t="s">
        <v>135</v>
      </c>
      <c r="L19" t="s">
        <v>590</v>
      </c>
      <c r="M19" t="s">
        <v>185</v>
      </c>
      <c r="N19" t="s">
        <v>31</v>
      </c>
      <c r="O19" t="s">
        <v>31</v>
      </c>
      <c r="P19">
        <v>400</v>
      </c>
      <c r="Q19">
        <v>400</v>
      </c>
      <c r="R19" t="s">
        <v>31</v>
      </c>
      <c r="S19">
        <v>400</v>
      </c>
      <c r="T19" s="163">
        <v>1</v>
      </c>
      <c r="U19" s="124">
        <v>0</v>
      </c>
      <c r="V19" t="s">
        <v>33</v>
      </c>
      <c r="W19" t="s">
        <v>31</v>
      </c>
      <c r="X19" t="s">
        <v>31</v>
      </c>
      <c r="Y19" t="s">
        <v>31</v>
      </c>
      <c r="Z19" t="s">
        <v>31</v>
      </c>
      <c r="AB19" t="s">
        <v>31</v>
      </c>
      <c r="AC19" t="s">
        <v>31</v>
      </c>
      <c r="AD19" t="s">
        <v>31</v>
      </c>
      <c r="AE19" t="s">
        <v>587</v>
      </c>
      <c r="AH19" t="s">
        <v>402</v>
      </c>
      <c r="AK19" s="164">
        <v>0</v>
      </c>
      <c r="AN19" s="164">
        <v>0</v>
      </c>
      <c r="AP19" s="164">
        <v>0</v>
      </c>
      <c r="AS19" s="164">
        <v>0</v>
      </c>
      <c r="AV19" s="164">
        <v>0</v>
      </c>
      <c r="AY19" s="164">
        <v>0</v>
      </c>
      <c r="BB19" s="164">
        <v>0</v>
      </c>
      <c r="BE19" s="164">
        <v>0</v>
      </c>
      <c r="BG19" s="164">
        <v>0</v>
      </c>
      <c r="BH19" s="165">
        <v>0</v>
      </c>
    </row>
    <row r="20" spans="3:60" x14ac:dyDescent="0.25">
      <c r="C20" t="s">
        <v>241</v>
      </c>
      <c r="D20" t="s">
        <v>181</v>
      </c>
      <c r="E20" t="s">
        <v>26</v>
      </c>
      <c r="F20" t="s">
        <v>586</v>
      </c>
      <c r="G20" t="s">
        <v>245</v>
      </c>
      <c r="H20">
        <v>2024</v>
      </c>
      <c r="I20" t="s">
        <v>267</v>
      </c>
      <c r="J20" t="s">
        <v>31</v>
      </c>
      <c r="K20" t="s">
        <v>57</v>
      </c>
      <c r="L20" t="s">
        <v>409</v>
      </c>
      <c r="M20" t="s">
        <v>185</v>
      </c>
      <c r="N20" t="s">
        <v>31</v>
      </c>
      <c r="O20" t="s">
        <v>31</v>
      </c>
      <c r="P20">
        <v>400</v>
      </c>
      <c r="Q20">
        <v>400</v>
      </c>
      <c r="R20" t="s">
        <v>31</v>
      </c>
      <c r="S20">
        <v>400</v>
      </c>
      <c r="T20" s="163">
        <v>1</v>
      </c>
      <c r="U20" s="124">
        <v>0</v>
      </c>
      <c r="V20" t="s">
        <v>33</v>
      </c>
      <c r="W20" t="s">
        <v>31</v>
      </c>
      <c r="X20" t="s">
        <v>31</v>
      </c>
      <c r="Y20" t="s">
        <v>31</v>
      </c>
      <c r="Z20" t="s">
        <v>31</v>
      </c>
      <c r="AB20" t="s">
        <v>31</v>
      </c>
      <c r="AC20" t="s">
        <v>31</v>
      </c>
      <c r="AD20" t="s">
        <v>31</v>
      </c>
      <c r="AE20" t="s">
        <v>587</v>
      </c>
      <c r="AF20" t="s">
        <v>591</v>
      </c>
      <c r="AG20">
        <v>4</v>
      </c>
      <c r="AH20" t="s">
        <v>592</v>
      </c>
      <c r="AK20" s="164">
        <v>0</v>
      </c>
      <c r="AN20" s="164">
        <v>0</v>
      </c>
      <c r="AP20" s="164">
        <v>0</v>
      </c>
      <c r="AS20" s="164">
        <v>0</v>
      </c>
      <c r="AV20" s="164">
        <v>0</v>
      </c>
      <c r="AY20" s="164">
        <v>0</v>
      </c>
      <c r="BB20" s="164">
        <v>0</v>
      </c>
      <c r="BE20" s="164">
        <v>0</v>
      </c>
      <c r="BG20" s="164">
        <v>0</v>
      </c>
      <c r="BH20" s="165">
        <v>0</v>
      </c>
    </row>
    <row r="21" spans="3:60" x14ac:dyDescent="0.25">
      <c r="C21" t="s">
        <v>241</v>
      </c>
      <c r="D21" t="s">
        <v>181</v>
      </c>
      <c r="E21" t="s">
        <v>26</v>
      </c>
      <c r="F21" t="s">
        <v>586</v>
      </c>
      <c r="G21" t="s">
        <v>245</v>
      </c>
      <c r="H21">
        <v>2024</v>
      </c>
      <c r="I21" t="s">
        <v>46</v>
      </c>
      <c r="J21" t="s">
        <v>31</v>
      </c>
      <c r="K21" t="s">
        <v>66</v>
      </c>
      <c r="L21" t="s">
        <v>579</v>
      </c>
      <c r="M21" t="s">
        <v>185</v>
      </c>
      <c r="N21" t="s">
        <v>31</v>
      </c>
      <c r="O21" t="s">
        <v>31</v>
      </c>
      <c r="P21">
        <v>400</v>
      </c>
      <c r="Q21">
        <v>400</v>
      </c>
      <c r="R21" t="s">
        <v>31</v>
      </c>
      <c r="S21">
        <v>400</v>
      </c>
      <c r="T21" s="163">
        <v>1</v>
      </c>
      <c r="U21" s="124">
        <v>0</v>
      </c>
      <c r="V21" t="s">
        <v>33</v>
      </c>
      <c r="W21" t="s">
        <v>31</v>
      </c>
      <c r="X21" t="s">
        <v>31</v>
      </c>
      <c r="Y21" t="s">
        <v>31</v>
      </c>
      <c r="Z21" t="s">
        <v>31</v>
      </c>
      <c r="AB21" t="s">
        <v>31</v>
      </c>
      <c r="AC21" t="s">
        <v>31</v>
      </c>
      <c r="AD21" t="s">
        <v>31</v>
      </c>
      <c r="AE21" t="s">
        <v>587</v>
      </c>
      <c r="AH21" t="s">
        <v>402</v>
      </c>
      <c r="AK21" s="164">
        <v>0</v>
      </c>
      <c r="AN21" s="164">
        <v>0</v>
      </c>
      <c r="AP21" s="164">
        <v>0</v>
      </c>
      <c r="AS21" s="164">
        <v>0</v>
      </c>
      <c r="AV21" s="164">
        <v>0</v>
      </c>
      <c r="AY21" s="164">
        <v>0</v>
      </c>
      <c r="BB21" s="164">
        <v>0</v>
      </c>
      <c r="BE21" s="164">
        <v>0</v>
      </c>
      <c r="BG21" s="164">
        <v>0</v>
      </c>
      <c r="BH21" s="165">
        <v>0</v>
      </c>
    </row>
    <row r="22" spans="3:60" x14ac:dyDescent="0.25">
      <c r="C22" t="s">
        <v>241</v>
      </c>
      <c r="D22" t="s">
        <v>181</v>
      </c>
      <c r="E22" t="s">
        <v>26</v>
      </c>
      <c r="F22" t="s">
        <v>586</v>
      </c>
      <c r="G22" t="s">
        <v>245</v>
      </c>
      <c r="H22">
        <v>2024</v>
      </c>
      <c r="I22" t="s">
        <v>565</v>
      </c>
      <c r="J22" t="s">
        <v>31</v>
      </c>
      <c r="K22" t="s">
        <v>66</v>
      </c>
      <c r="L22" t="s">
        <v>579</v>
      </c>
      <c r="M22" t="s">
        <v>185</v>
      </c>
      <c r="N22" t="s">
        <v>31</v>
      </c>
      <c r="O22" t="s">
        <v>31</v>
      </c>
      <c r="P22">
        <v>400</v>
      </c>
      <c r="Q22">
        <v>400</v>
      </c>
      <c r="R22" t="s">
        <v>31</v>
      </c>
      <c r="S22">
        <v>400</v>
      </c>
      <c r="T22" s="163">
        <v>1</v>
      </c>
      <c r="U22" s="124">
        <v>0</v>
      </c>
      <c r="V22" t="s">
        <v>33</v>
      </c>
      <c r="W22" t="s">
        <v>31</v>
      </c>
      <c r="X22" t="s">
        <v>31</v>
      </c>
      <c r="Y22" t="s">
        <v>31</v>
      </c>
      <c r="Z22" t="s">
        <v>31</v>
      </c>
      <c r="AB22" t="s">
        <v>31</v>
      </c>
      <c r="AC22" t="s">
        <v>31</v>
      </c>
      <c r="AD22" t="s">
        <v>31</v>
      </c>
      <c r="AE22" t="s">
        <v>587</v>
      </c>
      <c r="AH22" t="s">
        <v>402</v>
      </c>
      <c r="AK22" s="164">
        <v>0</v>
      </c>
      <c r="AN22" s="164">
        <v>0</v>
      </c>
      <c r="AP22" s="164">
        <v>0</v>
      </c>
      <c r="AS22" s="164">
        <v>0</v>
      </c>
      <c r="AV22" s="164">
        <v>0</v>
      </c>
      <c r="AY22" s="164">
        <v>0</v>
      </c>
      <c r="BB22" s="164">
        <v>0</v>
      </c>
      <c r="BE22" s="164">
        <v>0</v>
      </c>
      <c r="BG22" s="164">
        <v>0</v>
      </c>
      <c r="BH22" s="165">
        <v>0</v>
      </c>
    </row>
    <row r="23" spans="3:60" x14ac:dyDescent="0.25">
      <c r="C23" t="s">
        <v>241</v>
      </c>
      <c r="D23" t="s">
        <v>181</v>
      </c>
      <c r="E23" t="s">
        <v>26</v>
      </c>
      <c r="F23" t="s">
        <v>586</v>
      </c>
      <c r="G23" t="s">
        <v>245</v>
      </c>
      <c r="H23">
        <v>2024</v>
      </c>
      <c r="I23" t="s">
        <v>339</v>
      </c>
      <c r="J23" t="s">
        <v>31</v>
      </c>
      <c r="K23" t="s">
        <v>340</v>
      </c>
      <c r="L23" t="s">
        <v>590</v>
      </c>
      <c r="M23" t="s">
        <v>185</v>
      </c>
      <c r="N23" t="s">
        <v>31</v>
      </c>
      <c r="O23" t="s">
        <v>31</v>
      </c>
      <c r="P23">
        <v>400</v>
      </c>
      <c r="Q23">
        <v>400</v>
      </c>
      <c r="R23" t="s">
        <v>31</v>
      </c>
      <c r="S23">
        <v>400</v>
      </c>
      <c r="T23" s="163">
        <v>1</v>
      </c>
      <c r="U23" s="124">
        <v>0</v>
      </c>
      <c r="V23" t="s">
        <v>33</v>
      </c>
      <c r="W23" t="s">
        <v>31</v>
      </c>
      <c r="X23" t="s">
        <v>31</v>
      </c>
      <c r="Y23" t="s">
        <v>31</v>
      </c>
      <c r="Z23" t="s">
        <v>31</v>
      </c>
      <c r="AB23" t="s">
        <v>31</v>
      </c>
      <c r="AC23" t="s">
        <v>31</v>
      </c>
      <c r="AD23" t="s">
        <v>31</v>
      </c>
      <c r="AE23" t="s">
        <v>587</v>
      </c>
      <c r="AH23" t="s">
        <v>402</v>
      </c>
      <c r="AK23" s="164">
        <v>0</v>
      </c>
      <c r="AN23" s="164">
        <v>0</v>
      </c>
      <c r="AP23" s="164">
        <v>0</v>
      </c>
      <c r="AS23" s="164">
        <v>0</v>
      </c>
      <c r="AV23" s="164">
        <v>0</v>
      </c>
      <c r="AY23" s="164">
        <v>0</v>
      </c>
      <c r="BB23" s="164">
        <v>0</v>
      </c>
      <c r="BE23" s="164">
        <v>0</v>
      </c>
      <c r="BG23" s="164">
        <v>0</v>
      </c>
      <c r="BH23" s="165">
        <v>0</v>
      </c>
    </row>
    <row r="24" spans="3:60" x14ac:dyDescent="0.25">
      <c r="C24" t="s">
        <v>241</v>
      </c>
      <c r="D24" t="s">
        <v>181</v>
      </c>
      <c r="E24" t="s">
        <v>26</v>
      </c>
      <c r="F24" t="s">
        <v>586</v>
      </c>
      <c r="G24" t="s">
        <v>245</v>
      </c>
      <c r="H24">
        <v>2024</v>
      </c>
      <c r="I24" t="s">
        <v>137</v>
      </c>
      <c r="J24" t="s">
        <v>31</v>
      </c>
      <c r="K24" t="s">
        <v>135</v>
      </c>
      <c r="L24" t="s">
        <v>590</v>
      </c>
      <c r="M24" t="s">
        <v>185</v>
      </c>
      <c r="N24" t="s">
        <v>31</v>
      </c>
      <c r="O24" t="s">
        <v>31</v>
      </c>
      <c r="P24">
        <v>1600</v>
      </c>
      <c r="Q24">
        <v>1600</v>
      </c>
      <c r="R24" t="s">
        <v>31</v>
      </c>
      <c r="S24">
        <v>12063</v>
      </c>
      <c r="T24" s="163">
        <v>0.13263698914034699</v>
      </c>
      <c r="U24" s="124">
        <v>0</v>
      </c>
      <c r="V24" t="s">
        <v>33</v>
      </c>
      <c r="W24" t="s">
        <v>31</v>
      </c>
      <c r="X24" t="s">
        <v>31</v>
      </c>
      <c r="Y24" t="s">
        <v>31</v>
      </c>
      <c r="Z24" t="s">
        <v>31</v>
      </c>
      <c r="AB24" t="s">
        <v>31</v>
      </c>
      <c r="AC24" t="s">
        <v>31</v>
      </c>
      <c r="AD24" t="s">
        <v>31</v>
      </c>
      <c r="AE24" t="s">
        <v>593</v>
      </c>
      <c r="AH24" t="s">
        <v>402</v>
      </c>
      <c r="AK24" s="164">
        <v>0</v>
      </c>
      <c r="AN24" s="164">
        <v>0</v>
      </c>
      <c r="AP24" s="164">
        <v>0</v>
      </c>
      <c r="AS24" s="164">
        <v>0</v>
      </c>
      <c r="AV24" s="164">
        <v>0</v>
      </c>
      <c r="AY24" s="164">
        <v>0</v>
      </c>
      <c r="BB24" s="164">
        <v>0</v>
      </c>
      <c r="BE24" s="164">
        <v>0</v>
      </c>
      <c r="BG24" s="164">
        <v>0</v>
      </c>
      <c r="BH24" s="165">
        <v>0</v>
      </c>
    </row>
    <row r="25" spans="3:60" x14ac:dyDescent="0.25">
      <c r="C25" t="s">
        <v>241</v>
      </c>
      <c r="D25" t="s">
        <v>181</v>
      </c>
      <c r="E25" t="s">
        <v>26</v>
      </c>
      <c r="F25" t="s">
        <v>586</v>
      </c>
      <c r="G25" t="s">
        <v>245</v>
      </c>
      <c r="H25">
        <v>2024</v>
      </c>
      <c r="I25" t="s">
        <v>255</v>
      </c>
      <c r="J25" t="s">
        <v>405</v>
      </c>
      <c r="K25" t="s">
        <v>53</v>
      </c>
      <c r="L25" t="s">
        <v>411</v>
      </c>
      <c r="M25" t="s">
        <v>258</v>
      </c>
      <c r="N25">
        <v>2</v>
      </c>
      <c r="O25" t="s">
        <v>31</v>
      </c>
      <c r="P25">
        <v>6300</v>
      </c>
      <c r="Q25">
        <v>6300</v>
      </c>
      <c r="R25" t="s">
        <v>31</v>
      </c>
      <c r="S25">
        <v>7703</v>
      </c>
      <c r="T25" s="163">
        <v>0.81786317019343102</v>
      </c>
      <c r="U25" s="124">
        <v>0</v>
      </c>
      <c r="V25" t="s">
        <v>33</v>
      </c>
      <c r="W25" t="s">
        <v>31</v>
      </c>
      <c r="X25">
        <v>6</v>
      </c>
      <c r="Y25" t="s">
        <v>31</v>
      </c>
      <c r="Z25" t="s">
        <v>31</v>
      </c>
      <c r="AA25" t="s">
        <v>31</v>
      </c>
      <c r="AB25" t="s">
        <v>31</v>
      </c>
      <c r="AC25" t="s">
        <v>31</v>
      </c>
      <c r="AD25" t="s">
        <v>31</v>
      </c>
      <c r="AE25" t="s">
        <v>594</v>
      </c>
      <c r="AF25" t="s">
        <v>588</v>
      </c>
      <c r="AH25" t="s">
        <v>402</v>
      </c>
      <c r="AJ25" t="s">
        <v>403</v>
      </c>
      <c r="AK25" s="164">
        <v>0</v>
      </c>
      <c r="AL25" t="s">
        <v>403</v>
      </c>
      <c r="AM25" t="s">
        <v>403</v>
      </c>
      <c r="AN25" s="164">
        <v>0</v>
      </c>
      <c r="AO25" t="s">
        <v>403</v>
      </c>
      <c r="AP25" s="164">
        <v>0</v>
      </c>
      <c r="AQ25" t="s">
        <v>403</v>
      </c>
      <c r="AR25" t="s">
        <v>403</v>
      </c>
      <c r="AS25" s="164">
        <v>0</v>
      </c>
      <c r="AT25">
        <v>0</v>
      </c>
      <c r="AU25">
        <v>0</v>
      </c>
      <c r="AV25" s="164">
        <v>0</v>
      </c>
      <c r="AW25">
        <v>0</v>
      </c>
      <c r="AX25">
        <v>0</v>
      </c>
      <c r="AY25" s="164">
        <v>0</v>
      </c>
      <c r="AZ25">
        <v>0</v>
      </c>
      <c r="BA25">
        <v>0</v>
      </c>
      <c r="BB25" s="164">
        <v>0</v>
      </c>
      <c r="BC25">
        <v>0</v>
      </c>
      <c r="BD25">
        <v>0</v>
      </c>
      <c r="BE25" s="164">
        <v>0</v>
      </c>
      <c r="BF25">
        <v>0</v>
      </c>
      <c r="BG25" s="164">
        <v>0</v>
      </c>
      <c r="BH25" s="165">
        <v>0</v>
      </c>
    </row>
    <row r="26" spans="3:60" x14ac:dyDescent="0.25">
      <c r="C26" t="s">
        <v>241</v>
      </c>
      <c r="D26" t="s">
        <v>181</v>
      </c>
      <c r="E26" t="s">
        <v>26</v>
      </c>
      <c r="F26" t="s">
        <v>586</v>
      </c>
      <c r="G26" t="s">
        <v>245</v>
      </c>
      <c r="H26">
        <v>2024</v>
      </c>
      <c r="I26" t="s">
        <v>568</v>
      </c>
      <c r="J26" t="s">
        <v>31</v>
      </c>
      <c r="K26" t="s">
        <v>57</v>
      </c>
      <c r="L26" t="s">
        <v>409</v>
      </c>
      <c r="M26" t="s">
        <v>258</v>
      </c>
      <c r="N26">
        <v>4</v>
      </c>
      <c r="O26" t="s">
        <v>31</v>
      </c>
      <c r="P26">
        <v>12600</v>
      </c>
      <c r="Q26">
        <v>12600</v>
      </c>
      <c r="R26" t="s">
        <v>31</v>
      </c>
      <c r="S26">
        <v>23790</v>
      </c>
      <c r="T26" s="163">
        <v>0.52963430012610302</v>
      </c>
      <c r="U26" s="124">
        <v>0</v>
      </c>
      <c r="V26" t="s">
        <v>33</v>
      </c>
      <c r="W26" t="s">
        <v>31</v>
      </c>
      <c r="X26">
        <v>12</v>
      </c>
      <c r="Y26" t="s">
        <v>31</v>
      </c>
      <c r="Z26" t="s">
        <v>31</v>
      </c>
      <c r="AB26" t="s">
        <v>31</v>
      </c>
      <c r="AC26" t="s">
        <v>31</v>
      </c>
      <c r="AD26" t="s">
        <v>31</v>
      </c>
      <c r="AE26" t="s">
        <v>595</v>
      </c>
      <c r="AF26" t="s">
        <v>596</v>
      </c>
      <c r="AG26">
        <v>1</v>
      </c>
      <c r="AH26" t="s">
        <v>403</v>
      </c>
      <c r="AK26" s="164">
        <v>0</v>
      </c>
      <c r="AN26" s="164">
        <v>0</v>
      </c>
      <c r="AP26" s="164">
        <v>0</v>
      </c>
      <c r="AS26" s="164">
        <v>0</v>
      </c>
      <c r="AV26" s="164">
        <v>0</v>
      </c>
      <c r="AY26" s="164">
        <v>0</v>
      </c>
      <c r="BB26" s="164">
        <v>0</v>
      </c>
      <c r="BE26" s="164">
        <v>0</v>
      </c>
      <c r="BG26" s="164">
        <v>0</v>
      </c>
      <c r="BH26" s="165">
        <v>0</v>
      </c>
    </row>
    <row r="27" spans="3:60" x14ac:dyDescent="0.25">
      <c r="C27" t="s">
        <v>597</v>
      </c>
      <c r="D27" t="s">
        <v>598</v>
      </c>
      <c r="E27" t="s">
        <v>26</v>
      </c>
      <c r="F27" t="s">
        <v>599</v>
      </c>
      <c r="G27" t="s">
        <v>600</v>
      </c>
      <c r="H27">
        <v>2024</v>
      </c>
      <c r="I27" t="s">
        <v>118</v>
      </c>
      <c r="J27" t="s">
        <v>405</v>
      </c>
      <c r="K27" t="s">
        <v>66</v>
      </c>
      <c r="L27" t="s">
        <v>579</v>
      </c>
      <c r="M27" t="s">
        <v>185</v>
      </c>
      <c r="N27" t="s">
        <v>185</v>
      </c>
      <c r="O27">
        <v>1</v>
      </c>
      <c r="P27">
        <v>471</v>
      </c>
      <c r="Q27">
        <v>471</v>
      </c>
      <c r="R27" t="s">
        <v>31</v>
      </c>
      <c r="S27">
        <v>13405</v>
      </c>
      <c r="T27" s="163">
        <v>3.5136143230138001E-2</v>
      </c>
      <c r="U27" s="124">
        <v>210816.85938082801</v>
      </c>
      <c r="V27" t="s">
        <v>33</v>
      </c>
      <c r="W27">
        <v>1607.1189999999999</v>
      </c>
      <c r="X27">
        <v>2</v>
      </c>
      <c r="Y27">
        <v>0</v>
      </c>
      <c r="Z27">
        <v>0</v>
      </c>
      <c r="AA27" t="s">
        <v>33</v>
      </c>
      <c r="AB27" t="s">
        <v>31</v>
      </c>
      <c r="AC27" t="s">
        <v>39</v>
      </c>
      <c r="AD27" t="s">
        <v>31</v>
      </c>
      <c r="AE27" t="s">
        <v>601</v>
      </c>
      <c r="AF27" t="s">
        <v>602</v>
      </c>
      <c r="AG27">
        <v>1</v>
      </c>
      <c r="AH27" t="s">
        <v>603</v>
      </c>
      <c r="AI27" t="s">
        <v>31</v>
      </c>
      <c r="AJ27" t="s">
        <v>31</v>
      </c>
      <c r="AK27" s="164">
        <v>0</v>
      </c>
      <c r="AL27" t="s">
        <v>31</v>
      </c>
      <c r="AM27" t="s">
        <v>31</v>
      </c>
      <c r="AN27" s="164">
        <v>0</v>
      </c>
      <c r="AO27" t="s">
        <v>402</v>
      </c>
      <c r="AP27" s="164">
        <v>1500000</v>
      </c>
      <c r="AQ27" t="s">
        <v>31</v>
      </c>
      <c r="AR27" t="s">
        <v>31</v>
      </c>
      <c r="AS27" s="164">
        <v>0</v>
      </c>
      <c r="AT27" t="s">
        <v>31</v>
      </c>
      <c r="AU27" t="s">
        <v>31</v>
      </c>
      <c r="AV27" s="164">
        <v>0</v>
      </c>
      <c r="AW27" t="s">
        <v>31</v>
      </c>
      <c r="AX27" t="s">
        <v>31</v>
      </c>
      <c r="AY27" s="164">
        <v>0</v>
      </c>
      <c r="AZ27" t="s">
        <v>31</v>
      </c>
      <c r="BA27" t="s">
        <v>31</v>
      </c>
      <c r="BB27" s="164">
        <v>0</v>
      </c>
      <c r="BC27" t="s">
        <v>31</v>
      </c>
      <c r="BD27" t="s">
        <v>31</v>
      </c>
      <c r="BE27" s="164">
        <v>0</v>
      </c>
      <c r="BF27" t="s">
        <v>31</v>
      </c>
      <c r="BG27" s="164">
        <v>0</v>
      </c>
      <c r="BH27" s="165">
        <v>1500000</v>
      </c>
    </row>
    <row r="28" spans="3:60" x14ac:dyDescent="0.25">
      <c r="C28" t="s">
        <v>597</v>
      </c>
      <c r="D28" t="s">
        <v>598</v>
      </c>
      <c r="E28" t="s">
        <v>26</v>
      </c>
      <c r="F28" t="s">
        <v>599</v>
      </c>
      <c r="G28" t="s">
        <v>600</v>
      </c>
      <c r="H28">
        <v>2024</v>
      </c>
      <c r="I28" t="s">
        <v>118</v>
      </c>
      <c r="J28" t="s">
        <v>405</v>
      </c>
      <c r="K28" t="s">
        <v>66</v>
      </c>
      <c r="L28" t="s">
        <v>579</v>
      </c>
      <c r="M28" t="s">
        <v>185</v>
      </c>
      <c r="N28" t="s">
        <v>185</v>
      </c>
      <c r="O28">
        <v>1</v>
      </c>
      <c r="P28">
        <v>471</v>
      </c>
      <c r="Q28">
        <v>471</v>
      </c>
      <c r="R28" t="s">
        <v>31</v>
      </c>
      <c r="S28">
        <v>13405</v>
      </c>
      <c r="T28" s="163">
        <v>3.5136143230138001E-2</v>
      </c>
      <c r="U28" s="124">
        <v>210816.85938082801</v>
      </c>
      <c r="V28" t="s">
        <v>33</v>
      </c>
      <c r="W28">
        <v>1607.1189999999999</v>
      </c>
      <c r="X28">
        <v>2</v>
      </c>
      <c r="Y28">
        <v>0</v>
      </c>
      <c r="Z28">
        <v>0</v>
      </c>
      <c r="AA28" t="s">
        <v>33</v>
      </c>
      <c r="AB28" t="s">
        <v>31</v>
      </c>
      <c r="AC28" t="s">
        <v>39</v>
      </c>
      <c r="AD28" t="s">
        <v>31</v>
      </c>
      <c r="AE28" t="s">
        <v>604</v>
      </c>
      <c r="AF28" t="s">
        <v>602</v>
      </c>
      <c r="AG28">
        <v>1</v>
      </c>
      <c r="AH28" t="s">
        <v>603</v>
      </c>
      <c r="AI28" t="s">
        <v>31</v>
      </c>
      <c r="AJ28" t="s">
        <v>31</v>
      </c>
      <c r="AK28" s="164">
        <v>0</v>
      </c>
      <c r="AL28" t="s">
        <v>31</v>
      </c>
      <c r="AM28" t="s">
        <v>31</v>
      </c>
      <c r="AN28" s="164">
        <v>0</v>
      </c>
      <c r="AO28" t="s">
        <v>402</v>
      </c>
      <c r="AP28" s="164">
        <v>1500000</v>
      </c>
      <c r="AQ28" t="s">
        <v>31</v>
      </c>
      <c r="AR28" t="s">
        <v>31</v>
      </c>
      <c r="AS28" s="164">
        <v>0</v>
      </c>
      <c r="AT28" t="s">
        <v>31</v>
      </c>
      <c r="AU28" t="s">
        <v>31</v>
      </c>
      <c r="AV28" s="164">
        <v>0</v>
      </c>
      <c r="AW28" t="s">
        <v>31</v>
      </c>
      <c r="AX28" t="s">
        <v>31</v>
      </c>
      <c r="AY28" s="164">
        <v>0</v>
      </c>
      <c r="AZ28" t="s">
        <v>31</v>
      </c>
      <c r="BA28" t="s">
        <v>31</v>
      </c>
      <c r="BB28" s="164">
        <v>0</v>
      </c>
      <c r="BC28" t="s">
        <v>31</v>
      </c>
      <c r="BD28" t="s">
        <v>31</v>
      </c>
      <c r="BE28" s="164">
        <v>0</v>
      </c>
      <c r="BF28" t="s">
        <v>31</v>
      </c>
      <c r="BG28" s="164">
        <v>0</v>
      </c>
      <c r="BH28" s="165">
        <v>1500000</v>
      </c>
    </row>
    <row r="29" spans="3:60" x14ac:dyDescent="0.25">
      <c r="C29" t="s">
        <v>597</v>
      </c>
      <c r="D29" t="s">
        <v>598</v>
      </c>
      <c r="E29" t="s">
        <v>26</v>
      </c>
      <c r="F29" t="s">
        <v>599</v>
      </c>
      <c r="G29" t="s">
        <v>600</v>
      </c>
      <c r="H29">
        <v>2024</v>
      </c>
      <c r="I29" t="s">
        <v>80</v>
      </c>
      <c r="J29" t="s">
        <v>405</v>
      </c>
      <c r="K29" t="s">
        <v>66</v>
      </c>
      <c r="L29" t="s">
        <v>579</v>
      </c>
      <c r="M29" t="s">
        <v>185</v>
      </c>
      <c r="N29">
        <v>1</v>
      </c>
      <c r="O29">
        <v>1</v>
      </c>
      <c r="P29">
        <v>471</v>
      </c>
      <c r="Q29">
        <v>471</v>
      </c>
      <c r="R29" t="s">
        <v>31</v>
      </c>
      <c r="S29">
        <v>618</v>
      </c>
      <c r="T29" s="163">
        <v>0.76213592233009697</v>
      </c>
      <c r="U29" s="124">
        <v>2286407.76699029</v>
      </c>
      <c r="V29" t="s">
        <v>33</v>
      </c>
      <c r="W29">
        <v>1607.1189999999999</v>
      </c>
      <c r="X29">
        <v>2</v>
      </c>
      <c r="Y29">
        <v>0</v>
      </c>
      <c r="Z29">
        <v>0</v>
      </c>
      <c r="AA29" t="s">
        <v>33</v>
      </c>
      <c r="AB29" t="s">
        <v>31</v>
      </c>
      <c r="AC29" t="s">
        <v>39</v>
      </c>
      <c r="AD29" t="s">
        <v>31</v>
      </c>
      <c r="AE29" t="s">
        <v>605</v>
      </c>
      <c r="AF29" t="s">
        <v>31</v>
      </c>
      <c r="AG29">
        <v>2</v>
      </c>
      <c r="AH29" t="s">
        <v>402</v>
      </c>
      <c r="AI29" t="s">
        <v>31</v>
      </c>
      <c r="AJ29" t="s">
        <v>31</v>
      </c>
      <c r="AK29" s="164">
        <v>0</v>
      </c>
      <c r="AL29" t="s">
        <v>31</v>
      </c>
      <c r="AM29" t="s">
        <v>31</v>
      </c>
      <c r="AN29" s="164">
        <v>0</v>
      </c>
      <c r="AO29" t="s">
        <v>402</v>
      </c>
      <c r="AP29" s="164">
        <v>1500000</v>
      </c>
      <c r="AQ29" t="s">
        <v>31</v>
      </c>
      <c r="AR29" t="s">
        <v>31</v>
      </c>
      <c r="AS29" s="164">
        <v>0</v>
      </c>
      <c r="AT29" t="s">
        <v>31</v>
      </c>
      <c r="AU29" t="s">
        <v>31</v>
      </c>
      <c r="AV29" s="164">
        <v>0</v>
      </c>
      <c r="AW29" t="s">
        <v>31</v>
      </c>
      <c r="AX29" t="s">
        <v>31</v>
      </c>
      <c r="AY29" s="164">
        <v>0</v>
      </c>
      <c r="AZ29" t="s">
        <v>31</v>
      </c>
      <c r="BA29" t="s">
        <v>31</v>
      </c>
      <c r="BB29" s="164">
        <v>0</v>
      </c>
      <c r="BC29" t="s">
        <v>31</v>
      </c>
      <c r="BD29" t="s">
        <v>31</v>
      </c>
      <c r="BE29" s="164">
        <v>0</v>
      </c>
      <c r="BF29" t="s">
        <v>31</v>
      </c>
      <c r="BG29" s="164">
        <v>0</v>
      </c>
      <c r="BH29" s="165">
        <v>1500000</v>
      </c>
    </row>
    <row r="30" spans="3:60" x14ac:dyDescent="0.25">
      <c r="C30" t="s">
        <v>606</v>
      </c>
      <c r="D30" t="s">
        <v>607</v>
      </c>
      <c r="E30" t="s">
        <v>26</v>
      </c>
      <c r="F30" t="s">
        <v>599</v>
      </c>
      <c r="G30" t="s">
        <v>608</v>
      </c>
      <c r="H30">
        <v>2024</v>
      </c>
      <c r="I30" t="s">
        <v>120</v>
      </c>
      <c r="J30" t="s">
        <v>405</v>
      </c>
      <c r="K30" t="s">
        <v>66</v>
      </c>
      <c r="L30" t="s">
        <v>579</v>
      </c>
      <c r="M30" t="s">
        <v>185</v>
      </c>
      <c r="N30" t="s">
        <v>185</v>
      </c>
      <c r="O30" t="s">
        <v>31</v>
      </c>
      <c r="P30" t="s">
        <v>31</v>
      </c>
      <c r="Q30">
        <v>100</v>
      </c>
      <c r="R30" t="s">
        <v>31</v>
      </c>
      <c r="S30">
        <v>200</v>
      </c>
      <c r="T30" s="163">
        <v>0.5</v>
      </c>
      <c r="U30" s="124">
        <v>1500000</v>
      </c>
      <c r="V30" t="s">
        <v>609</v>
      </c>
      <c r="W30">
        <v>6824.2839999999997</v>
      </c>
      <c r="X30">
        <v>2</v>
      </c>
      <c r="Y30">
        <v>1</v>
      </c>
      <c r="Z30">
        <v>2000</v>
      </c>
      <c r="AA30" t="s">
        <v>609</v>
      </c>
      <c r="AB30" t="s">
        <v>31</v>
      </c>
      <c r="AC30" t="s">
        <v>39</v>
      </c>
      <c r="AD30" t="s">
        <v>31</v>
      </c>
      <c r="AE30" t="s">
        <v>610</v>
      </c>
      <c r="AF30" t="s">
        <v>31</v>
      </c>
      <c r="AG30">
        <v>2</v>
      </c>
      <c r="AH30" t="s">
        <v>402</v>
      </c>
      <c r="AI30" t="s">
        <v>31</v>
      </c>
      <c r="AJ30" t="s">
        <v>31</v>
      </c>
      <c r="AK30" s="164">
        <v>0</v>
      </c>
      <c r="AL30" t="s">
        <v>31</v>
      </c>
      <c r="AM30" t="s">
        <v>31</v>
      </c>
      <c r="AN30" s="164">
        <v>0</v>
      </c>
      <c r="AO30" t="s">
        <v>402</v>
      </c>
      <c r="AP30" s="164">
        <v>1500000</v>
      </c>
      <c r="AQ30" t="s">
        <v>31</v>
      </c>
      <c r="AR30" t="s">
        <v>31</v>
      </c>
      <c r="AS30" s="164">
        <v>0</v>
      </c>
      <c r="AT30" t="s">
        <v>31</v>
      </c>
      <c r="AU30" t="s">
        <v>31</v>
      </c>
      <c r="AV30" s="164">
        <v>0</v>
      </c>
      <c r="AW30" t="s">
        <v>31</v>
      </c>
      <c r="AX30" t="s">
        <v>31</v>
      </c>
      <c r="AY30" s="164">
        <v>0</v>
      </c>
      <c r="AZ30" t="s">
        <v>31</v>
      </c>
      <c r="BA30" t="s">
        <v>31</v>
      </c>
      <c r="BB30" s="164">
        <v>0</v>
      </c>
      <c r="BC30" t="s">
        <v>31</v>
      </c>
      <c r="BD30" t="s">
        <v>31</v>
      </c>
      <c r="BE30" s="164">
        <v>0</v>
      </c>
      <c r="BF30" t="s">
        <v>31</v>
      </c>
      <c r="BG30" s="164">
        <v>0</v>
      </c>
      <c r="BH30" s="165">
        <v>1500000</v>
      </c>
    </row>
    <row r="31" spans="3:60" x14ac:dyDescent="0.25">
      <c r="C31" t="s">
        <v>606</v>
      </c>
      <c r="D31" t="s">
        <v>607</v>
      </c>
      <c r="E31" t="s">
        <v>26</v>
      </c>
      <c r="F31" t="s">
        <v>599</v>
      </c>
      <c r="G31" t="s">
        <v>608</v>
      </c>
      <c r="H31">
        <v>2024</v>
      </c>
      <c r="I31" t="s">
        <v>120</v>
      </c>
      <c r="J31" t="s">
        <v>405</v>
      </c>
      <c r="K31" t="s">
        <v>66</v>
      </c>
      <c r="L31" t="s">
        <v>579</v>
      </c>
      <c r="M31" t="s">
        <v>185</v>
      </c>
      <c r="N31" t="s">
        <v>185</v>
      </c>
      <c r="O31" t="s">
        <v>31</v>
      </c>
      <c r="P31" t="s">
        <v>31</v>
      </c>
      <c r="Q31">
        <v>100</v>
      </c>
      <c r="R31" t="s">
        <v>31</v>
      </c>
      <c r="S31">
        <v>200</v>
      </c>
      <c r="T31" s="163">
        <v>0.5</v>
      </c>
      <c r="U31" s="124">
        <v>1500000</v>
      </c>
      <c r="V31" t="s">
        <v>609</v>
      </c>
      <c r="W31">
        <v>6824.2839999999997</v>
      </c>
      <c r="X31">
        <v>2</v>
      </c>
      <c r="Y31">
        <v>1</v>
      </c>
      <c r="Z31">
        <v>2000</v>
      </c>
      <c r="AA31" t="s">
        <v>609</v>
      </c>
      <c r="AB31" t="s">
        <v>31</v>
      </c>
      <c r="AC31" t="s">
        <v>39</v>
      </c>
      <c r="AD31" t="s">
        <v>31</v>
      </c>
      <c r="AE31" t="s">
        <v>610</v>
      </c>
      <c r="AF31" t="s">
        <v>31</v>
      </c>
      <c r="AG31">
        <v>2</v>
      </c>
      <c r="AH31" t="s">
        <v>402</v>
      </c>
      <c r="AI31" t="s">
        <v>31</v>
      </c>
      <c r="AJ31" t="s">
        <v>31</v>
      </c>
      <c r="AK31" s="164">
        <v>0</v>
      </c>
      <c r="AL31" t="s">
        <v>31</v>
      </c>
      <c r="AM31" t="s">
        <v>31</v>
      </c>
      <c r="AN31" s="164">
        <v>0</v>
      </c>
      <c r="AO31" t="s">
        <v>402</v>
      </c>
      <c r="AP31" s="164">
        <v>1500000</v>
      </c>
      <c r="AQ31" t="s">
        <v>31</v>
      </c>
      <c r="AR31" t="s">
        <v>31</v>
      </c>
      <c r="AS31" s="164">
        <v>0</v>
      </c>
      <c r="AT31" t="s">
        <v>31</v>
      </c>
      <c r="AU31" t="s">
        <v>31</v>
      </c>
      <c r="AV31" s="164">
        <v>0</v>
      </c>
      <c r="AW31" t="s">
        <v>31</v>
      </c>
      <c r="AX31" t="s">
        <v>31</v>
      </c>
      <c r="AY31" s="164">
        <v>0</v>
      </c>
      <c r="AZ31" t="s">
        <v>31</v>
      </c>
      <c r="BA31" t="s">
        <v>31</v>
      </c>
      <c r="BB31" s="164">
        <v>0</v>
      </c>
      <c r="BC31" t="s">
        <v>31</v>
      </c>
      <c r="BD31" t="s">
        <v>31</v>
      </c>
      <c r="BE31" s="164">
        <v>0</v>
      </c>
      <c r="BF31" t="s">
        <v>31</v>
      </c>
      <c r="BG31" s="164">
        <v>0</v>
      </c>
      <c r="BH31" s="165">
        <v>1500000</v>
      </c>
    </row>
    <row r="32" spans="3:60" x14ac:dyDescent="0.25">
      <c r="C32" t="s">
        <v>611</v>
      </c>
      <c r="D32" t="s">
        <v>612</v>
      </c>
      <c r="E32" t="s">
        <v>26</v>
      </c>
      <c r="F32" t="s">
        <v>599</v>
      </c>
      <c r="G32" t="s">
        <v>613</v>
      </c>
      <c r="H32">
        <v>2024</v>
      </c>
      <c r="I32" t="s">
        <v>137</v>
      </c>
      <c r="J32" t="s">
        <v>406</v>
      </c>
      <c r="K32" t="s">
        <v>135</v>
      </c>
      <c r="L32" t="s">
        <v>184</v>
      </c>
      <c r="M32" t="s">
        <v>32</v>
      </c>
      <c r="N32">
        <v>1</v>
      </c>
      <c r="O32">
        <v>1</v>
      </c>
      <c r="P32">
        <v>2332</v>
      </c>
      <c r="Q32">
        <v>3463</v>
      </c>
      <c r="R32" t="s">
        <v>31</v>
      </c>
      <c r="S32">
        <v>12063</v>
      </c>
      <c r="T32" s="163">
        <v>0.28707618337063801</v>
      </c>
      <c r="U32" s="124">
        <v>0</v>
      </c>
      <c r="V32" t="s">
        <v>33</v>
      </c>
      <c r="W32">
        <v>11816</v>
      </c>
      <c r="X32">
        <v>2</v>
      </c>
      <c r="Y32">
        <v>0</v>
      </c>
      <c r="Z32">
        <v>0</v>
      </c>
      <c r="AA32" t="s">
        <v>33</v>
      </c>
      <c r="AB32">
        <v>3</v>
      </c>
      <c r="AC32" t="s">
        <v>39</v>
      </c>
      <c r="AD32" t="s">
        <v>31</v>
      </c>
      <c r="AE32" t="s">
        <v>614</v>
      </c>
      <c r="AF32" t="s">
        <v>615</v>
      </c>
      <c r="AH32" t="s">
        <v>402</v>
      </c>
      <c r="AK32" s="164">
        <v>0</v>
      </c>
      <c r="AN32" s="164">
        <v>0</v>
      </c>
      <c r="AP32" s="164">
        <v>0</v>
      </c>
      <c r="AS32" s="164">
        <v>0</v>
      </c>
      <c r="AV32" s="164">
        <v>0</v>
      </c>
      <c r="AY32" s="164">
        <v>0</v>
      </c>
      <c r="BB32" s="164">
        <v>0</v>
      </c>
      <c r="BE32" s="164">
        <v>0</v>
      </c>
      <c r="BG32" s="164">
        <v>0</v>
      </c>
      <c r="BH32" s="165">
        <v>0</v>
      </c>
    </row>
    <row r="33" spans="3:60" x14ac:dyDescent="0.25">
      <c r="C33" t="s">
        <v>611</v>
      </c>
      <c r="D33" t="s">
        <v>612</v>
      </c>
      <c r="E33" t="s">
        <v>26</v>
      </c>
      <c r="F33" t="s">
        <v>599</v>
      </c>
      <c r="G33" t="s">
        <v>613</v>
      </c>
      <c r="H33">
        <v>2024</v>
      </c>
      <c r="I33" t="s">
        <v>118</v>
      </c>
      <c r="J33" t="s">
        <v>406</v>
      </c>
      <c r="K33" t="s">
        <v>66</v>
      </c>
      <c r="L33" t="s">
        <v>579</v>
      </c>
      <c r="M33" t="s">
        <v>32</v>
      </c>
      <c r="N33">
        <v>1</v>
      </c>
      <c r="O33">
        <v>1</v>
      </c>
      <c r="P33">
        <v>2332</v>
      </c>
      <c r="Q33">
        <v>3463</v>
      </c>
      <c r="R33" t="s">
        <v>31</v>
      </c>
      <c r="S33">
        <v>13405</v>
      </c>
      <c r="T33" s="163">
        <v>0.25833644162625902</v>
      </c>
      <c r="U33" s="124">
        <v>1550018.6497575501</v>
      </c>
      <c r="V33" t="s">
        <v>33</v>
      </c>
      <c r="W33">
        <v>11816</v>
      </c>
      <c r="X33">
        <v>2</v>
      </c>
      <c r="Y33">
        <v>0</v>
      </c>
      <c r="Z33">
        <v>0</v>
      </c>
      <c r="AA33" t="s">
        <v>33</v>
      </c>
      <c r="AB33">
        <v>3</v>
      </c>
      <c r="AC33" t="s">
        <v>39</v>
      </c>
      <c r="AD33" t="s">
        <v>31</v>
      </c>
      <c r="AE33" t="s">
        <v>616</v>
      </c>
      <c r="AF33" t="s">
        <v>31</v>
      </c>
      <c r="AG33">
        <v>1</v>
      </c>
      <c r="AH33" t="s">
        <v>402</v>
      </c>
      <c r="AI33" t="s">
        <v>31</v>
      </c>
      <c r="AJ33" t="s">
        <v>31</v>
      </c>
      <c r="AK33" s="164">
        <v>0</v>
      </c>
      <c r="AL33" t="s">
        <v>31</v>
      </c>
      <c r="AM33" t="s">
        <v>31</v>
      </c>
      <c r="AN33" s="164">
        <v>0</v>
      </c>
      <c r="AO33" t="s">
        <v>402</v>
      </c>
      <c r="AP33" s="164">
        <v>1500000</v>
      </c>
      <c r="AQ33" t="s">
        <v>31</v>
      </c>
      <c r="AR33" t="s">
        <v>31</v>
      </c>
      <c r="AS33" s="164">
        <v>0</v>
      </c>
      <c r="AT33" t="s">
        <v>31</v>
      </c>
      <c r="AU33" t="s">
        <v>31</v>
      </c>
      <c r="AV33" s="164">
        <v>0</v>
      </c>
      <c r="AW33" t="s">
        <v>31</v>
      </c>
      <c r="AX33" t="s">
        <v>31</v>
      </c>
      <c r="AY33" s="164">
        <v>0</v>
      </c>
      <c r="AZ33" t="s">
        <v>31</v>
      </c>
      <c r="BA33" t="s">
        <v>31</v>
      </c>
      <c r="BB33" s="164">
        <v>0</v>
      </c>
      <c r="BC33" t="s">
        <v>31</v>
      </c>
      <c r="BD33" t="s">
        <v>31</v>
      </c>
      <c r="BE33" s="164">
        <v>0</v>
      </c>
      <c r="BF33" t="s">
        <v>31</v>
      </c>
      <c r="BG33" s="164">
        <v>0</v>
      </c>
      <c r="BH33" s="165">
        <v>1500000</v>
      </c>
    </row>
    <row r="34" spans="3:60" x14ac:dyDescent="0.25">
      <c r="C34" t="s">
        <v>611</v>
      </c>
      <c r="D34" t="s">
        <v>617</v>
      </c>
      <c r="E34" t="s">
        <v>26</v>
      </c>
      <c r="F34" t="s">
        <v>599</v>
      </c>
      <c r="G34" t="s">
        <v>613</v>
      </c>
      <c r="H34">
        <v>2024</v>
      </c>
      <c r="I34" t="s">
        <v>562</v>
      </c>
      <c r="J34" t="s">
        <v>406</v>
      </c>
      <c r="K34" t="s">
        <v>66</v>
      </c>
      <c r="L34" t="s">
        <v>579</v>
      </c>
      <c r="M34" t="s">
        <v>185</v>
      </c>
      <c r="N34" t="s">
        <v>185</v>
      </c>
      <c r="O34">
        <v>1</v>
      </c>
      <c r="P34">
        <v>230</v>
      </c>
      <c r="Q34">
        <v>590</v>
      </c>
      <c r="R34" t="s">
        <v>31</v>
      </c>
      <c r="S34">
        <v>590</v>
      </c>
      <c r="T34" s="163">
        <v>1</v>
      </c>
      <c r="U34" s="124">
        <v>0</v>
      </c>
      <c r="V34" t="s">
        <v>609</v>
      </c>
      <c r="W34">
        <v>1570</v>
      </c>
      <c r="X34">
        <v>0</v>
      </c>
      <c r="Y34">
        <v>1</v>
      </c>
      <c r="Z34">
        <v>590</v>
      </c>
      <c r="AA34" t="s">
        <v>609</v>
      </c>
      <c r="AB34">
        <v>0</v>
      </c>
      <c r="AC34" t="s">
        <v>39</v>
      </c>
      <c r="AD34" t="s">
        <v>31</v>
      </c>
      <c r="AE34" t="s">
        <v>618</v>
      </c>
      <c r="AH34" t="s">
        <v>402</v>
      </c>
      <c r="AK34" s="164">
        <v>0</v>
      </c>
      <c r="AN34" s="164">
        <v>0</v>
      </c>
      <c r="AP34" s="164">
        <v>0</v>
      </c>
      <c r="AS34" s="164">
        <v>0</v>
      </c>
      <c r="AV34" s="164">
        <v>0</v>
      </c>
      <c r="AY34" s="164">
        <v>0</v>
      </c>
      <c r="BB34" s="164">
        <v>0</v>
      </c>
      <c r="BE34" s="164">
        <v>0</v>
      </c>
      <c r="BG34" s="164">
        <v>0</v>
      </c>
      <c r="BH34" s="165">
        <v>0</v>
      </c>
    </row>
    <row r="35" spans="3:60" x14ac:dyDescent="0.25">
      <c r="C35" t="s">
        <v>611</v>
      </c>
      <c r="D35" t="s">
        <v>617</v>
      </c>
      <c r="E35" t="s">
        <v>26</v>
      </c>
      <c r="F35" t="s">
        <v>599</v>
      </c>
      <c r="G35" t="s">
        <v>613</v>
      </c>
      <c r="H35">
        <v>2024</v>
      </c>
      <c r="I35" t="s">
        <v>568</v>
      </c>
      <c r="J35" t="s">
        <v>406</v>
      </c>
      <c r="K35" t="s">
        <v>57</v>
      </c>
      <c r="L35" t="s">
        <v>46</v>
      </c>
      <c r="M35" t="s">
        <v>185</v>
      </c>
      <c r="N35" t="s">
        <v>185</v>
      </c>
      <c r="O35">
        <v>1</v>
      </c>
      <c r="P35">
        <v>230</v>
      </c>
      <c r="Q35">
        <v>590</v>
      </c>
      <c r="R35" t="s">
        <v>31</v>
      </c>
      <c r="S35">
        <v>23790</v>
      </c>
      <c r="T35" s="163">
        <v>2.4800336275746099E-2</v>
      </c>
      <c r="U35" s="124">
        <v>0</v>
      </c>
      <c r="V35" t="s">
        <v>33</v>
      </c>
      <c r="W35">
        <v>1570</v>
      </c>
      <c r="X35">
        <v>0</v>
      </c>
      <c r="Y35">
        <v>1</v>
      </c>
      <c r="Z35">
        <v>590</v>
      </c>
      <c r="AA35" t="s">
        <v>33</v>
      </c>
      <c r="AB35">
        <v>0</v>
      </c>
      <c r="AC35" t="s">
        <v>39</v>
      </c>
      <c r="AD35" t="s">
        <v>31</v>
      </c>
      <c r="AE35" t="s">
        <v>618</v>
      </c>
      <c r="AF35" t="s">
        <v>596</v>
      </c>
      <c r="AG35">
        <v>1</v>
      </c>
      <c r="AH35" t="s">
        <v>403</v>
      </c>
      <c r="AK35" s="164">
        <v>0</v>
      </c>
      <c r="AN35" s="164">
        <v>0</v>
      </c>
      <c r="AP35" s="164">
        <v>0</v>
      </c>
      <c r="AS35" s="164">
        <v>0</v>
      </c>
      <c r="AV35" s="164">
        <v>0</v>
      </c>
      <c r="AY35" s="164">
        <v>0</v>
      </c>
      <c r="BB35" s="164">
        <v>0</v>
      </c>
      <c r="BE35" s="164">
        <v>0</v>
      </c>
      <c r="BG35" s="164">
        <v>0</v>
      </c>
      <c r="BH35" s="165">
        <v>0</v>
      </c>
    </row>
    <row r="36" spans="3:60" x14ac:dyDescent="0.25">
      <c r="C36" t="s">
        <v>619</v>
      </c>
      <c r="D36" t="s">
        <v>620</v>
      </c>
      <c r="E36" t="s">
        <v>26</v>
      </c>
      <c r="F36" t="s">
        <v>599</v>
      </c>
      <c r="G36" t="s">
        <v>621</v>
      </c>
      <c r="H36">
        <v>2024</v>
      </c>
      <c r="I36" t="s">
        <v>118</v>
      </c>
      <c r="J36" t="s">
        <v>408</v>
      </c>
      <c r="K36" t="s">
        <v>66</v>
      </c>
      <c r="L36" t="s">
        <v>579</v>
      </c>
      <c r="M36" t="s">
        <v>32</v>
      </c>
      <c r="N36">
        <v>2</v>
      </c>
      <c r="O36">
        <v>1</v>
      </c>
      <c r="P36">
        <v>7000</v>
      </c>
      <c r="Q36">
        <v>7000</v>
      </c>
      <c r="R36" t="s">
        <v>31</v>
      </c>
      <c r="S36">
        <v>13405</v>
      </c>
      <c r="T36" s="163">
        <v>0.52219321148825104</v>
      </c>
      <c r="U36" s="124">
        <v>3133159.2689295001</v>
      </c>
      <c r="V36" t="s">
        <v>33</v>
      </c>
      <c r="W36">
        <v>12990</v>
      </c>
      <c r="X36">
        <v>4</v>
      </c>
      <c r="Y36" t="s">
        <v>31</v>
      </c>
      <c r="Z36" t="s">
        <v>31</v>
      </c>
      <c r="AA36" t="s">
        <v>33</v>
      </c>
      <c r="AB36">
        <v>3</v>
      </c>
      <c r="AC36" t="s">
        <v>31</v>
      </c>
      <c r="AD36" t="s">
        <v>31</v>
      </c>
      <c r="AE36" t="s">
        <v>622</v>
      </c>
      <c r="AF36" t="s">
        <v>31</v>
      </c>
      <c r="AG36">
        <v>1</v>
      </c>
      <c r="AH36" t="s">
        <v>402</v>
      </c>
      <c r="AI36" t="s">
        <v>31</v>
      </c>
      <c r="AJ36" t="s">
        <v>31</v>
      </c>
      <c r="AK36" s="164">
        <v>0</v>
      </c>
      <c r="AL36" t="s">
        <v>31</v>
      </c>
      <c r="AM36" t="s">
        <v>31</v>
      </c>
      <c r="AN36" s="164">
        <v>0</v>
      </c>
      <c r="AO36" t="s">
        <v>402</v>
      </c>
      <c r="AP36" s="164">
        <v>1500000</v>
      </c>
      <c r="AQ36" t="s">
        <v>31</v>
      </c>
      <c r="AR36" t="s">
        <v>31</v>
      </c>
      <c r="AS36" s="164">
        <v>0</v>
      </c>
      <c r="AT36" t="s">
        <v>31</v>
      </c>
      <c r="AU36" t="s">
        <v>31</v>
      </c>
      <c r="AV36" s="164">
        <v>0</v>
      </c>
      <c r="AW36" t="s">
        <v>31</v>
      </c>
      <c r="AX36" t="s">
        <v>31</v>
      </c>
      <c r="AY36" s="164">
        <v>0</v>
      </c>
      <c r="AZ36" t="s">
        <v>31</v>
      </c>
      <c r="BA36" t="s">
        <v>31</v>
      </c>
      <c r="BB36" s="164">
        <v>0</v>
      </c>
      <c r="BC36" t="s">
        <v>31</v>
      </c>
      <c r="BD36" t="s">
        <v>31</v>
      </c>
      <c r="BE36" s="164">
        <v>0</v>
      </c>
      <c r="BF36" t="s">
        <v>31</v>
      </c>
      <c r="BG36" s="164">
        <v>0</v>
      </c>
      <c r="BH36" s="165">
        <v>1500000</v>
      </c>
    </row>
    <row r="37" spans="3:60" x14ac:dyDescent="0.25">
      <c r="C37" t="s">
        <v>623</v>
      </c>
      <c r="D37" t="s">
        <v>620</v>
      </c>
      <c r="E37" t="s">
        <v>26</v>
      </c>
      <c r="F37" t="s">
        <v>599</v>
      </c>
      <c r="G37" t="s">
        <v>621</v>
      </c>
      <c r="H37">
        <v>2024</v>
      </c>
      <c r="I37" t="s">
        <v>137</v>
      </c>
      <c r="J37" t="s">
        <v>408</v>
      </c>
      <c r="K37" t="s">
        <v>135</v>
      </c>
      <c r="L37" t="s">
        <v>184</v>
      </c>
      <c r="M37" t="s">
        <v>32</v>
      </c>
      <c r="N37">
        <v>2</v>
      </c>
      <c r="O37">
        <v>1</v>
      </c>
      <c r="P37">
        <v>7000</v>
      </c>
      <c r="Q37">
        <v>7000</v>
      </c>
      <c r="R37" t="s">
        <v>31</v>
      </c>
      <c r="S37">
        <v>12063</v>
      </c>
      <c r="T37" s="163">
        <v>0.58028682748901605</v>
      </c>
      <c r="U37" s="124">
        <v>0</v>
      </c>
      <c r="V37" t="s">
        <v>33</v>
      </c>
      <c r="W37">
        <v>12990</v>
      </c>
      <c r="X37">
        <v>4</v>
      </c>
      <c r="Y37" t="s">
        <v>31</v>
      </c>
      <c r="Z37" t="s">
        <v>31</v>
      </c>
      <c r="AA37" t="s">
        <v>33</v>
      </c>
      <c r="AB37">
        <v>3</v>
      </c>
      <c r="AC37" t="s">
        <v>31</v>
      </c>
      <c r="AD37" t="s">
        <v>31</v>
      </c>
      <c r="AE37" t="s">
        <v>624</v>
      </c>
      <c r="AF37" t="s">
        <v>615</v>
      </c>
      <c r="AH37" t="s">
        <v>402</v>
      </c>
      <c r="AK37" s="164">
        <v>0</v>
      </c>
      <c r="AN37" s="164">
        <v>0</v>
      </c>
      <c r="AP37" s="164">
        <v>0</v>
      </c>
      <c r="AS37" s="164">
        <v>0</v>
      </c>
      <c r="AV37" s="164">
        <v>0</v>
      </c>
      <c r="AY37" s="164">
        <v>0</v>
      </c>
      <c r="BB37" s="164">
        <v>0</v>
      </c>
      <c r="BE37" s="164">
        <v>0</v>
      </c>
      <c r="BG37" s="164">
        <v>0</v>
      </c>
      <c r="BH37" s="165">
        <v>0</v>
      </c>
    </row>
    <row r="38" spans="3:60" x14ac:dyDescent="0.25">
      <c r="C38" t="s">
        <v>625</v>
      </c>
      <c r="D38" t="s">
        <v>620</v>
      </c>
      <c r="E38" t="s">
        <v>26</v>
      </c>
      <c r="F38" t="s">
        <v>599</v>
      </c>
      <c r="G38" t="s">
        <v>621</v>
      </c>
      <c r="H38">
        <v>2024</v>
      </c>
      <c r="I38" t="s">
        <v>285</v>
      </c>
      <c r="J38" t="s">
        <v>408</v>
      </c>
      <c r="K38" t="s">
        <v>57</v>
      </c>
      <c r="L38" t="s">
        <v>46</v>
      </c>
      <c r="M38" t="s">
        <v>32</v>
      </c>
      <c r="N38">
        <v>3</v>
      </c>
      <c r="O38">
        <v>1</v>
      </c>
      <c r="P38">
        <v>10500</v>
      </c>
      <c r="Q38">
        <v>10500</v>
      </c>
      <c r="R38" t="s">
        <v>31</v>
      </c>
      <c r="S38">
        <v>12103</v>
      </c>
      <c r="T38" s="163">
        <v>0.86755349913244695</v>
      </c>
      <c r="U38" s="124">
        <v>0</v>
      </c>
      <c r="V38" t="s">
        <v>33</v>
      </c>
      <c r="W38">
        <v>12990</v>
      </c>
      <c r="X38">
        <v>4</v>
      </c>
      <c r="Y38" t="s">
        <v>31</v>
      </c>
      <c r="Z38" t="s">
        <v>31</v>
      </c>
      <c r="AA38" t="s">
        <v>33</v>
      </c>
      <c r="AB38">
        <v>3</v>
      </c>
      <c r="AC38" t="s">
        <v>31</v>
      </c>
      <c r="AD38" t="s">
        <v>31</v>
      </c>
      <c r="AE38" t="s">
        <v>626</v>
      </c>
      <c r="AF38" t="s">
        <v>577</v>
      </c>
      <c r="AG38">
        <v>1</v>
      </c>
      <c r="AH38" t="s">
        <v>403</v>
      </c>
      <c r="AK38" s="164">
        <v>0</v>
      </c>
      <c r="AN38" s="164">
        <v>0</v>
      </c>
      <c r="AP38" s="164">
        <v>0</v>
      </c>
      <c r="AS38" s="164">
        <v>0</v>
      </c>
      <c r="AV38" s="164">
        <v>0</v>
      </c>
      <c r="AY38" s="164">
        <v>0</v>
      </c>
      <c r="BB38" s="164">
        <v>0</v>
      </c>
      <c r="BE38" s="164">
        <v>0</v>
      </c>
      <c r="BG38" s="164">
        <v>0</v>
      </c>
      <c r="BH38" s="165">
        <v>0</v>
      </c>
    </row>
    <row r="39" spans="3:60" x14ac:dyDescent="0.25">
      <c r="C39" t="s">
        <v>627</v>
      </c>
      <c r="D39" t="s">
        <v>620</v>
      </c>
      <c r="E39" t="s">
        <v>26</v>
      </c>
      <c r="F39" t="s">
        <v>599</v>
      </c>
      <c r="G39" t="s">
        <v>621</v>
      </c>
      <c r="H39">
        <v>2024</v>
      </c>
      <c r="I39" t="s">
        <v>568</v>
      </c>
      <c r="J39" t="s">
        <v>408</v>
      </c>
      <c r="K39" t="s">
        <v>57</v>
      </c>
      <c r="L39" t="s">
        <v>46</v>
      </c>
      <c r="M39" t="s">
        <v>32</v>
      </c>
      <c r="N39">
        <v>3</v>
      </c>
      <c r="O39">
        <v>1</v>
      </c>
      <c r="P39">
        <v>10500</v>
      </c>
      <c r="Q39">
        <v>10500</v>
      </c>
      <c r="R39" t="s">
        <v>31</v>
      </c>
      <c r="S39">
        <v>23790</v>
      </c>
      <c r="T39" s="163">
        <v>0.44136191677175302</v>
      </c>
      <c r="U39" s="124">
        <v>0</v>
      </c>
      <c r="V39" t="s">
        <v>33</v>
      </c>
      <c r="W39">
        <v>12990</v>
      </c>
      <c r="X39">
        <v>4</v>
      </c>
      <c r="Y39" t="s">
        <v>31</v>
      </c>
      <c r="Z39" t="s">
        <v>31</v>
      </c>
      <c r="AA39" t="s">
        <v>33</v>
      </c>
      <c r="AB39">
        <v>3</v>
      </c>
      <c r="AC39" t="s">
        <v>31</v>
      </c>
      <c r="AD39" t="s">
        <v>31</v>
      </c>
      <c r="AE39" t="s">
        <v>628</v>
      </c>
      <c r="AF39" t="s">
        <v>596</v>
      </c>
      <c r="AG39">
        <v>1</v>
      </c>
      <c r="AH39" t="s">
        <v>403</v>
      </c>
      <c r="AK39" s="164">
        <v>0</v>
      </c>
      <c r="AN39" s="164">
        <v>0</v>
      </c>
      <c r="AP39" s="164">
        <v>0</v>
      </c>
      <c r="AS39" s="164">
        <v>0</v>
      </c>
      <c r="AV39" s="164">
        <v>0</v>
      </c>
      <c r="AY39" s="164">
        <v>0</v>
      </c>
      <c r="BB39" s="164">
        <v>0</v>
      </c>
      <c r="BE39" s="164">
        <v>0</v>
      </c>
      <c r="BG39" s="164">
        <v>0</v>
      </c>
      <c r="BH39" s="165">
        <v>0</v>
      </c>
    </row>
    <row r="40" spans="3:60" x14ac:dyDescent="0.25">
      <c r="C40" t="s">
        <v>629</v>
      </c>
      <c r="D40" t="s">
        <v>620</v>
      </c>
      <c r="E40" t="s">
        <v>278</v>
      </c>
      <c r="F40" t="s">
        <v>599</v>
      </c>
      <c r="G40" t="s">
        <v>621</v>
      </c>
      <c r="H40">
        <v>2024</v>
      </c>
      <c r="I40" t="s">
        <v>285</v>
      </c>
      <c r="J40" t="s">
        <v>408</v>
      </c>
      <c r="K40" t="s">
        <v>57</v>
      </c>
      <c r="L40" t="s">
        <v>46</v>
      </c>
      <c r="M40" t="s">
        <v>185</v>
      </c>
      <c r="N40">
        <v>2</v>
      </c>
      <c r="O40">
        <v>1</v>
      </c>
      <c r="P40" t="s">
        <v>31</v>
      </c>
      <c r="Q40">
        <v>100</v>
      </c>
      <c r="R40" t="s">
        <v>31</v>
      </c>
      <c r="S40">
        <v>12103</v>
      </c>
      <c r="T40" s="163">
        <v>8.2624142774518697E-3</v>
      </c>
      <c r="U40" s="124">
        <v>0</v>
      </c>
      <c r="V40" t="s">
        <v>33</v>
      </c>
      <c r="W40" t="s">
        <v>31</v>
      </c>
      <c r="X40">
        <v>2</v>
      </c>
      <c r="Y40" t="s">
        <v>31</v>
      </c>
      <c r="Z40" t="s">
        <v>31</v>
      </c>
      <c r="AA40" t="s">
        <v>33</v>
      </c>
      <c r="AB40" t="s">
        <v>31</v>
      </c>
      <c r="AC40" t="s">
        <v>31</v>
      </c>
      <c r="AD40" t="s">
        <v>31</v>
      </c>
      <c r="AF40" t="s">
        <v>577</v>
      </c>
      <c r="AG40">
        <v>1</v>
      </c>
      <c r="AH40" t="s">
        <v>403</v>
      </c>
      <c r="AK40" s="164">
        <v>0</v>
      </c>
      <c r="AN40" s="164">
        <v>0</v>
      </c>
      <c r="AP40" s="164">
        <v>0</v>
      </c>
      <c r="AS40" s="164">
        <v>0</v>
      </c>
      <c r="AV40" s="164">
        <v>0</v>
      </c>
      <c r="AY40" s="164">
        <v>0</v>
      </c>
      <c r="BB40" s="164">
        <v>0</v>
      </c>
      <c r="BE40" s="164">
        <v>0</v>
      </c>
      <c r="BG40" s="164">
        <v>0</v>
      </c>
      <c r="BH40" s="165">
        <v>0</v>
      </c>
    </row>
    <row r="41" spans="3:60" x14ac:dyDescent="0.25">
      <c r="C41" t="s">
        <v>630</v>
      </c>
      <c r="D41" t="s">
        <v>620</v>
      </c>
      <c r="E41" t="s">
        <v>278</v>
      </c>
      <c r="F41" t="s">
        <v>599</v>
      </c>
      <c r="G41" t="s">
        <v>621</v>
      </c>
      <c r="H41">
        <v>2024</v>
      </c>
      <c r="I41" t="s">
        <v>118</v>
      </c>
      <c r="J41" t="s">
        <v>408</v>
      </c>
      <c r="K41" t="s">
        <v>66</v>
      </c>
      <c r="L41" t="s">
        <v>579</v>
      </c>
      <c r="M41" t="s">
        <v>185</v>
      </c>
      <c r="N41">
        <v>2</v>
      </c>
      <c r="O41">
        <v>1</v>
      </c>
      <c r="P41" t="s">
        <v>31</v>
      </c>
      <c r="Q41">
        <v>1000</v>
      </c>
      <c r="R41" t="s">
        <v>31</v>
      </c>
      <c r="S41">
        <v>13405</v>
      </c>
      <c r="T41" s="163">
        <v>7.4599030212607206E-2</v>
      </c>
      <c r="U41" s="124">
        <v>447594.181275643</v>
      </c>
      <c r="V41" t="s">
        <v>33</v>
      </c>
      <c r="W41" t="s">
        <v>31</v>
      </c>
      <c r="X41">
        <v>2</v>
      </c>
      <c r="Y41" t="s">
        <v>31</v>
      </c>
      <c r="Z41" t="s">
        <v>31</v>
      </c>
      <c r="AA41" t="s">
        <v>33</v>
      </c>
      <c r="AB41" t="s">
        <v>31</v>
      </c>
      <c r="AC41" t="s">
        <v>31</v>
      </c>
      <c r="AD41" t="s">
        <v>31</v>
      </c>
      <c r="AK41" s="164">
        <v>0</v>
      </c>
      <c r="AN41" s="164">
        <v>0</v>
      </c>
      <c r="AP41" s="164">
        <v>0</v>
      </c>
      <c r="AS41" s="164">
        <v>0</v>
      </c>
      <c r="AV41" s="164">
        <v>0</v>
      </c>
      <c r="AY41" s="164">
        <v>0</v>
      </c>
      <c r="BB41" s="164">
        <v>0</v>
      </c>
      <c r="BE41" s="164">
        <v>0</v>
      </c>
      <c r="BG41" s="164">
        <v>0</v>
      </c>
      <c r="BH41" s="165">
        <v>0</v>
      </c>
    </row>
    <row r="42" spans="3:60" x14ac:dyDescent="0.25">
      <c r="C42" t="s">
        <v>631</v>
      </c>
      <c r="D42" t="s">
        <v>620</v>
      </c>
      <c r="E42" t="s">
        <v>278</v>
      </c>
      <c r="F42" t="s">
        <v>599</v>
      </c>
      <c r="G42" t="s">
        <v>621</v>
      </c>
      <c r="H42">
        <v>2024</v>
      </c>
      <c r="I42" t="s">
        <v>118</v>
      </c>
      <c r="J42" t="s">
        <v>408</v>
      </c>
      <c r="K42" t="s">
        <v>66</v>
      </c>
      <c r="L42" t="s">
        <v>579</v>
      </c>
      <c r="M42" t="s">
        <v>185</v>
      </c>
      <c r="N42">
        <v>2</v>
      </c>
      <c r="O42">
        <v>1</v>
      </c>
      <c r="P42" t="s">
        <v>31</v>
      </c>
      <c r="Q42">
        <v>1000</v>
      </c>
      <c r="R42" t="s">
        <v>31</v>
      </c>
      <c r="S42">
        <v>13405</v>
      </c>
      <c r="T42" s="163">
        <v>7.4599030212607206E-2</v>
      </c>
      <c r="U42" s="124">
        <v>447594.181275643</v>
      </c>
      <c r="V42" t="s">
        <v>33</v>
      </c>
      <c r="W42" t="s">
        <v>31</v>
      </c>
      <c r="X42">
        <v>2</v>
      </c>
      <c r="Y42" t="s">
        <v>31</v>
      </c>
      <c r="Z42" t="s">
        <v>31</v>
      </c>
      <c r="AA42" t="s">
        <v>33</v>
      </c>
      <c r="AB42" t="s">
        <v>31</v>
      </c>
      <c r="AC42" t="s">
        <v>31</v>
      </c>
      <c r="AD42" t="s">
        <v>31</v>
      </c>
      <c r="AK42" s="164">
        <v>0</v>
      </c>
      <c r="AN42" s="164">
        <v>0</v>
      </c>
      <c r="AP42" s="164">
        <v>0</v>
      </c>
      <c r="AS42" s="164">
        <v>0</v>
      </c>
      <c r="AV42" s="164">
        <v>0</v>
      </c>
      <c r="AY42" s="164">
        <v>0</v>
      </c>
      <c r="BB42" s="164">
        <v>0</v>
      </c>
      <c r="BE42" s="164">
        <v>0</v>
      </c>
      <c r="BG42" s="164">
        <v>0</v>
      </c>
      <c r="BH42" s="165">
        <v>0</v>
      </c>
    </row>
    <row r="43" spans="3:60" x14ac:dyDescent="0.25">
      <c r="C43" t="s">
        <v>632</v>
      </c>
      <c r="D43" t="s">
        <v>620</v>
      </c>
      <c r="E43" t="s">
        <v>278</v>
      </c>
      <c r="F43" t="s">
        <v>599</v>
      </c>
      <c r="G43" t="s">
        <v>621</v>
      </c>
      <c r="H43">
        <v>2024</v>
      </c>
      <c r="I43" t="s">
        <v>285</v>
      </c>
      <c r="J43" t="s">
        <v>408</v>
      </c>
      <c r="K43" t="s">
        <v>57</v>
      </c>
      <c r="L43" t="s">
        <v>46</v>
      </c>
      <c r="M43" t="s">
        <v>185</v>
      </c>
      <c r="N43">
        <v>2</v>
      </c>
      <c r="O43">
        <v>1</v>
      </c>
      <c r="P43" t="s">
        <v>31</v>
      </c>
      <c r="Q43">
        <v>100</v>
      </c>
      <c r="R43" t="s">
        <v>31</v>
      </c>
      <c r="S43">
        <v>12103</v>
      </c>
      <c r="T43" s="163">
        <v>8.2624142774518697E-3</v>
      </c>
      <c r="U43" s="124">
        <v>0</v>
      </c>
      <c r="V43" t="s">
        <v>33</v>
      </c>
      <c r="W43" t="s">
        <v>31</v>
      </c>
      <c r="X43">
        <v>2</v>
      </c>
      <c r="Y43" t="s">
        <v>31</v>
      </c>
      <c r="Z43" t="s">
        <v>31</v>
      </c>
      <c r="AA43" t="s">
        <v>33</v>
      </c>
      <c r="AB43" t="s">
        <v>31</v>
      </c>
      <c r="AC43" t="s">
        <v>31</v>
      </c>
      <c r="AD43" t="s">
        <v>31</v>
      </c>
      <c r="AF43" t="s">
        <v>577</v>
      </c>
      <c r="AG43">
        <v>1</v>
      </c>
      <c r="AH43" t="s">
        <v>403</v>
      </c>
      <c r="AK43" s="164">
        <v>0</v>
      </c>
      <c r="AN43" s="164">
        <v>0</v>
      </c>
      <c r="AP43" s="164">
        <v>0</v>
      </c>
      <c r="AS43" s="164">
        <v>0</v>
      </c>
      <c r="AV43" s="164">
        <v>0</v>
      </c>
      <c r="AY43" s="164">
        <v>0</v>
      </c>
      <c r="BB43" s="164">
        <v>0</v>
      </c>
      <c r="BE43" s="164">
        <v>0</v>
      </c>
      <c r="BG43" s="164">
        <v>0</v>
      </c>
      <c r="BH43" s="165">
        <v>0</v>
      </c>
    </row>
    <row r="44" spans="3:60" x14ac:dyDescent="0.25">
      <c r="C44" t="s">
        <v>633</v>
      </c>
      <c r="D44" t="s">
        <v>620</v>
      </c>
      <c r="E44" t="s">
        <v>278</v>
      </c>
      <c r="F44" t="s">
        <v>599</v>
      </c>
      <c r="G44" t="s">
        <v>621</v>
      </c>
      <c r="H44">
        <v>2024</v>
      </c>
      <c r="I44" t="s">
        <v>568</v>
      </c>
      <c r="J44" t="s">
        <v>408</v>
      </c>
      <c r="K44" t="s">
        <v>57</v>
      </c>
      <c r="L44" t="s">
        <v>46</v>
      </c>
      <c r="M44" t="s">
        <v>185</v>
      </c>
      <c r="N44">
        <v>2</v>
      </c>
      <c r="O44">
        <v>1</v>
      </c>
      <c r="P44" t="s">
        <v>31</v>
      </c>
      <c r="Q44">
        <v>100</v>
      </c>
      <c r="R44" t="s">
        <v>31</v>
      </c>
      <c r="S44">
        <v>23790</v>
      </c>
      <c r="T44" s="163">
        <v>4.2034468263976504E-3</v>
      </c>
      <c r="U44" s="124">
        <v>0</v>
      </c>
      <c r="V44" t="s">
        <v>33</v>
      </c>
      <c r="W44" t="s">
        <v>31</v>
      </c>
      <c r="X44">
        <v>2</v>
      </c>
      <c r="Y44" t="s">
        <v>31</v>
      </c>
      <c r="Z44" t="s">
        <v>31</v>
      </c>
      <c r="AA44" t="s">
        <v>33</v>
      </c>
      <c r="AB44" t="s">
        <v>31</v>
      </c>
      <c r="AC44" t="s">
        <v>31</v>
      </c>
      <c r="AD44" t="s">
        <v>31</v>
      </c>
      <c r="AF44" t="s">
        <v>596</v>
      </c>
      <c r="AG44">
        <v>1</v>
      </c>
      <c r="AH44" t="s">
        <v>403</v>
      </c>
      <c r="AK44" s="164">
        <v>0</v>
      </c>
      <c r="AN44" s="164">
        <v>0</v>
      </c>
      <c r="AP44" s="164">
        <v>0</v>
      </c>
      <c r="AS44" s="164">
        <v>0</v>
      </c>
      <c r="AV44" s="164">
        <v>0</v>
      </c>
      <c r="AY44" s="164">
        <v>0</v>
      </c>
      <c r="BB44" s="164">
        <v>0</v>
      </c>
      <c r="BE44" s="164">
        <v>0</v>
      </c>
      <c r="BG44" s="164">
        <v>0</v>
      </c>
      <c r="BH44" s="165">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8ed61bf-70ee-4919-8a20-e36f8605d8ba">
      <Terms xmlns="http://schemas.microsoft.com/office/infopath/2007/PartnerControls"/>
    </lcf76f155ced4ddcb4097134ff3c332f>
    <TaxCatchAll xmlns="4db0cdf1-0f1b-49ef-9474-6ab40694a41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815D4BDB0C834D909B08A44D6CFF06" ma:contentTypeVersion="18" ma:contentTypeDescription="Crear nuevo documento." ma:contentTypeScope="" ma:versionID="b2adec892e27951f8cc4218ec9a17a8b">
  <xsd:schema xmlns:xsd="http://www.w3.org/2001/XMLSchema" xmlns:xs="http://www.w3.org/2001/XMLSchema" xmlns:p="http://schemas.microsoft.com/office/2006/metadata/properties" xmlns:ns2="a8ed61bf-70ee-4919-8a20-e36f8605d8ba" xmlns:ns3="4db0cdf1-0f1b-49ef-9474-6ab40694a413" targetNamespace="http://schemas.microsoft.com/office/2006/metadata/properties" ma:root="true" ma:fieldsID="2762de032848c2c5fd9c54ba08c8c942" ns2:_="" ns3:_="">
    <xsd:import namespace="a8ed61bf-70ee-4919-8a20-e36f8605d8ba"/>
    <xsd:import namespace="4db0cdf1-0f1b-49ef-9474-6ab40694a4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ed61bf-70ee-4919-8a20-e36f8605d8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167c7a36-fee9-41c6-b380-0257c60c79d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b0cdf1-0f1b-49ef-9474-6ab40694a413"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3b62a323-f1dd-4167-b19f-15aaa4fb9a41}" ma:internalName="TaxCatchAll" ma:showField="CatchAllData" ma:web="4db0cdf1-0f1b-49ef-9474-6ab40694a4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F8BD6E-B49A-4723-967F-FFB149F720BA}">
  <ds:schemaRefs>
    <ds:schemaRef ds:uri="http://schemas.microsoft.com/office/2006/metadata/properties"/>
    <ds:schemaRef ds:uri="http://schemas.microsoft.com/office/infopath/2007/PartnerControls"/>
    <ds:schemaRef ds:uri="a8ed61bf-70ee-4919-8a20-e36f8605d8ba"/>
    <ds:schemaRef ds:uri="4db0cdf1-0f1b-49ef-9474-6ab40694a413"/>
  </ds:schemaRefs>
</ds:datastoreItem>
</file>

<file path=customXml/itemProps2.xml><?xml version="1.0" encoding="utf-8"?>
<ds:datastoreItem xmlns:ds="http://schemas.openxmlformats.org/officeDocument/2006/customXml" ds:itemID="{D8B66729-B3FF-4D32-BC45-5F60967D9D0F}">
  <ds:schemaRefs>
    <ds:schemaRef ds:uri="http://schemas.microsoft.com/sharepoint/v3/contenttype/forms"/>
  </ds:schemaRefs>
</ds:datastoreItem>
</file>

<file path=customXml/itemProps3.xml><?xml version="1.0" encoding="utf-8"?>
<ds:datastoreItem xmlns:ds="http://schemas.openxmlformats.org/officeDocument/2006/customXml" ds:itemID="{F3CA1343-8A17-474B-A74B-32DEDE4BF5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ed61bf-70ee-4919-8a20-e36f8605d8ba"/>
    <ds:schemaRef ds:uri="4db0cdf1-0f1b-49ef-9474-6ab40694a4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Acceso</vt:lpstr>
      <vt:lpstr>Transporte</vt:lpstr>
      <vt:lpstr>MPLS</vt:lpstr>
      <vt:lpstr>IAP</vt:lpstr>
      <vt:lpstr>Hoja2</vt:lpstr>
      <vt:lpstr>BU FACILITIES</vt:lpstr>
      <vt:lpstr>Prefactibilidad negativa</vt:lpstr>
      <vt:lpstr>Sitios sin inversión</vt:lpstr>
      <vt:lpstr>Datos transformados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asepulh</dc:creator>
  <cp:keywords/>
  <dc:description/>
  <cp:lastModifiedBy>MATEO HOYOS MESA</cp:lastModifiedBy>
  <cp:revision/>
  <dcterms:created xsi:type="dcterms:W3CDTF">2017-07-24T18:47:41Z</dcterms:created>
  <dcterms:modified xsi:type="dcterms:W3CDTF">2026-01-26T18:38:48Z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0x0101003E815D4BDB0C834D909B08A44D6CFF06</vt:lpwstr>
  </property>
  <property fmtid="{D5CDD505-2E9C-101B-9397-08002B2CF9AE}" pid="3" name="MediaServiceImageTags">
    <vt:lpwstr/>
  </property>
</Properties>
</file>